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會員原始資料表" sheetId="1" state="visible" r:id="rId1"/>
    <sheet xmlns:r="http://schemas.openxmlformats.org/officeDocument/2006/relationships" name="數據摘要儀表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NT$#,##0"/>
    <numFmt numFmtId="165" formatCode="0.0"/>
    <numFmt numFmtId="166" formatCode="#,##0 人"/>
    <numFmt numFmtId="167" formatCode="0.0%"/>
  </numFmts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D0D7DE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color rgb="0064748B"/>
      <sz val="9"/>
    </font>
    <font>
      <name val="Microsoft JhengHei"/>
      <b val="1"/>
      <color rgb="001E3A8A"/>
      <sz val="18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165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0" fontId="1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7" fontId="7" fillId="8" borderId="1" applyAlignment="1" pivotButton="0" quotePrefix="0" xfId="0">
      <alignment horizontal="center" vertical="center"/>
    </xf>
    <xf numFmtId="0" fontId="3" fillId="9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會員等級人數佔比</a:t>
            </a:r>
          </a:p>
        </rich>
      </tx>
    </title>
    <plotArea>
      <pieChart>
        <varyColors val="1"/>
        <ser>
          <idx val="0"/>
          <order val="0"/>
          <tx>
            <strRef>
              <f>'數據摘要儀表板'!C7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'數據摘要儀表板'!$B$8:$B$11</f>
            </numRef>
          </cat>
          <val>
            <numRef>
              <f>'數據摘要儀表板'!$C$8:$C$11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各管道獲客與消費貢獻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'數據摘要儀表板'!H7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'數據摘要儀表板'!$F$8:$F$13</f>
            </numRef>
          </cat>
          <val>
            <numRef>
              <f>'數據摘要儀表板'!$H$8:$H$13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獲客管道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2" customWidth="1" min="5" max="5"/>
    <col width="25" customWidth="1" min="6" max="6"/>
    <col width="16" customWidth="1" min="7" max="7"/>
    <col width="12" customWidth="1" min="8" max="8"/>
    <col width="15" customWidth="1" min="9" max="9"/>
    <col width="13" customWidth="1" min="10" max="10"/>
    <col width="18" customWidth="1" min="11" max="11"/>
    <col width="18" customWidth="1" min="12" max="12"/>
    <col width="18" customWidth="1" min="13" max="13"/>
    <col width="15" customWidth="1" min="14" max="14"/>
    <col width="18" customWidth="1" min="15" max="15"/>
    <col width="12" customWidth="1" min="16" max="16"/>
  </cols>
  <sheetData>
    <row r="1" ht="40" customHeight="1">
      <c r="A1" s="1" t="inlineStr">
        <is>
          <t>企業客戶關係管理系統 (CRM) - 原始會員資料表</t>
        </is>
      </c>
    </row>
    <row r="2" ht="20" customHeight="1">
      <c r="A2" s="2" t="inlineStr">
        <is>
          <t>資料筆數：100 筆 | 匯出日期：2026-08-18 | 機密等級：內部專用 (RESTRICTED)</t>
        </is>
      </c>
    </row>
    <row r="3" ht="26" customHeight="1">
      <c r="A3" s="3" t="inlineStr">
        <is>
          <t>會員編號</t>
        </is>
      </c>
      <c r="B3" s="3" t="inlineStr">
        <is>
          <t>姓名</t>
        </is>
      </c>
      <c r="C3" s="3" t="inlineStr">
        <is>
          <t>性別</t>
        </is>
      </c>
      <c r="D3" s="3" t="inlineStr">
        <is>
          <t>年齡</t>
        </is>
      </c>
      <c r="E3" s="3" t="inlineStr">
        <is>
          <t>居住縣市</t>
        </is>
      </c>
      <c r="F3" s="3" t="inlineStr">
        <is>
          <t>電子信箱</t>
        </is>
      </c>
      <c r="G3" s="3" t="inlineStr">
        <is>
          <t>手機號碼</t>
        </is>
      </c>
      <c r="H3" s="3" t="inlineStr">
        <is>
          <t>會員等級</t>
        </is>
      </c>
      <c r="I3" s="3" t="inlineStr">
        <is>
          <t>入會日期</t>
        </is>
      </c>
      <c r="J3" s="3" t="inlineStr">
        <is>
          <t>獲客管道</t>
        </is>
      </c>
      <c r="K3" s="3" t="inlineStr">
        <is>
          <t>消費次數</t>
        </is>
      </c>
      <c r="L3" s="3" t="inlineStr">
        <is>
          <t>總消費金額 (NT$)</t>
        </is>
      </c>
      <c r="M3" s="3" t="inlineStr">
        <is>
          <t>平均客單價 (NT$)</t>
        </is>
      </c>
      <c r="N3" s="3" t="inlineStr">
        <is>
          <t>最近消費日期</t>
        </is>
      </c>
      <c r="O3" s="3" t="inlineStr">
        <is>
          <t>累計紅利點數</t>
        </is>
      </c>
      <c r="P3" s="3" t="inlineStr">
        <is>
          <t>帳號狀態</t>
        </is>
      </c>
    </row>
    <row r="4" ht="20" customHeight="1">
      <c r="A4" s="4" t="inlineStr">
        <is>
          <t>M20260001</t>
        </is>
      </c>
      <c r="B4" s="5" t="inlineStr">
        <is>
          <t>陳子軒</t>
        </is>
      </c>
      <c r="C4" s="4" t="inlineStr">
        <is>
          <t>男</t>
        </is>
      </c>
      <c r="D4" s="6" t="n">
        <v>37</v>
      </c>
      <c r="E4" s="5" t="inlineStr">
        <is>
          <t>台北市</t>
        </is>
      </c>
      <c r="F4" s="5" t="inlineStr">
        <is>
          <t>trxcka39@yahoo.com.tw</t>
        </is>
      </c>
      <c r="G4" s="4" t="inlineStr">
        <is>
          <t>0974-716-127</t>
        </is>
      </c>
      <c r="H4" s="4" t="inlineStr">
        <is>
          <t>銀卡會員</t>
        </is>
      </c>
      <c r="I4" s="4" t="inlineStr">
        <is>
          <t>2026-01-21</t>
        </is>
      </c>
      <c r="J4" s="4" t="inlineStr">
        <is>
          <t>LINE官方帳號</t>
        </is>
      </c>
      <c r="K4" s="6" t="n">
        <v>6</v>
      </c>
      <c r="L4" s="7" t="n">
        <v>22719</v>
      </c>
      <c r="M4" s="7">
        <f>ROUND(L4/K4, 0)</f>
        <v/>
      </c>
      <c r="N4" s="4" t="inlineStr">
        <is>
          <t>2026-06-20</t>
        </is>
      </c>
      <c r="O4" s="6" t="n">
        <v>353</v>
      </c>
      <c r="P4" s="4" t="inlineStr">
        <is>
          <t>沈睡會員</t>
        </is>
      </c>
    </row>
    <row r="5" ht="20" customHeight="1">
      <c r="A5" s="8" t="inlineStr">
        <is>
          <t>M20260002</t>
        </is>
      </c>
      <c r="B5" s="9" t="inlineStr">
        <is>
          <t>郭建宏</t>
        </is>
      </c>
      <c r="C5" s="8" t="inlineStr">
        <is>
          <t>男</t>
        </is>
      </c>
      <c r="D5" s="10" t="n">
        <v>37</v>
      </c>
      <c r="E5" s="9" t="inlineStr">
        <is>
          <t>台北市</t>
        </is>
      </c>
      <c r="F5" s="9" t="inlineStr">
        <is>
          <t>cjjigbl58@gmail.com</t>
        </is>
      </c>
      <c r="G5" s="8" t="inlineStr">
        <is>
          <t>0920-665-400</t>
        </is>
      </c>
      <c r="H5" s="8" t="inlineStr">
        <is>
          <t>金卡會員</t>
        </is>
      </c>
      <c r="I5" s="8" t="inlineStr">
        <is>
          <t>2026-06-20</t>
        </is>
      </c>
      <c r="J5" s="8" t="inlineStr">
        <is>
          <t>FB廣告</t>
        </is>
      </c>
      <c r="K5" s="10" t="n">
        <v>17</v>
      </c>
      <c r="L5" s="11" t="n">
        <v>37601</v>
      </c>
      <c r="M5" s="11">
        <f>ROUND(L5/K5, 0)</f>
        <v/>
      </c>
      <c r="N5" s="8" t="inlineStr">
        <is>
          <t>2026-06-24</t>
        </is>
      </c>
      <c r="O5" s="10" t="n">
        <v>410</v>
      </c>
      <c r="P5" s="8" t="inlineStr">
        <is>
          <t>正常活躍</t>
        </is>
      </c>
    </row>
    <row r="6" ht="20" customHeight="1">
      <c r="A6" s="4" t="inlineStr">
        <is>
          <t>M20260003</t>
        </is>
      </c>
      <c r="B6" s="5" t="inlineStr">
        <is>
          <t>黃郁婷</t>
        </is>
      </c>
      <c r="C6" s="4" t="inlineStr">
        <is>
          <t>女</t>
        </is>
      </c>
      <c r="D6" s="6" t="n">
        <v>34</v>
      </c>
      <c r="E6" s="5" t="inlineStr">
        <is>
          <t>高雄市</t>
        </is>
      </c>
      <c r="F6" s="5" t="inlineStr">
        <is>
          <t>hqjjfgyq78@yahoo.com.tw</t>
        </is>
      </c>
      <c r="G6" s="4" t="inlineStr">
        <is>
          <t>0941-267-573</t>
        </is>
      </c>
      <c r="H6" s="4" t="inlineStr">
        <is>
          <t>一般會員</t>
        </is>
      </c>
      <c r="I6" s="4" t="inlineStr">
        <is>
          <t>2026-02-14</t>
        </is>
      </c>
      <c r="J6" s="4" t="inlineStr">
        <is>
          <t>實體門市</t>
        </is>
      </c>
      <c r="K6" s="6" t="n">
        <v>6</v>
      </c>
      <c r="L6" s="7" t="n">
        <v>3456</v>
      </c>
      <c r="M6" s="7">
        <f>ROUND(L6/K6, 0)</f>
        <v/>
      </c>
      <c r="N6" s="4" t="inlineStr">
        <is>
          <t>2026-02-28</t>
        </is>
      </c>
      <c r="O6" s="6" t="n">
        <v>50</v>
      </c>
      <c r="P6" s="4" t="inlineStr">
        <is>
          <t>正常活躍</t>
        </is>
      </c>
    </row>
    <row r="7" ht="20" customHeight="1">
      <c r="A7" s="8" t="inlineStr">
        <is>
          <t>M20260004</t>
        </is>
      </c>
      <c r="B7" s="9" t="inlineStr">
        <is>
          <t>謝欣怡</t>
        </is>
      </c>
      <c r="C7" s="8" t="inlineStr">
        <is>
          <t>女</t>
        </is>
      </c>
      <c r="D7" s="10" t="n">
        <v>24</v>
      </c>
      <c r="E7" s="9" t="inlineStr">
        <is>
          <t>台北市</t>
        </is>
      </c>
      <c r="F7" s="9" t="inlineStr">
        <is>
          <t>fmxqddt84@hotmail.com</t>
        </is>
      </c>
      <c r="G7" s="8" t="inlineStr">
        <is>
          <t>0964-697-508</t>
        </is>
      </c>
      <c r="H7" s="8" t="inlineStr">
        <is>
          <t>一般會員</t>
        </is>
      </c>
      <c r="I7" s="8" t="inlineStr">
        <is>
          <t>2023-10-11</t>
        </is>
      </c>
      <c r="J7" s="8" t="inlineStr">
        <is>
          <t>KOL推薦</t>
        </is>
      </c>
      <c r="K7" s="10" t="n">
        <v>4</v>
      </c>
      <c r="L7" s="11" t="n">
        <v>1544</v>
      </c>
      <c r="M7" s="11">
        <f>ROUND(L7/K7, 0)</f>
        <v/>
      </c>
      <c r="N7" s="8" t="inlineStr">
        <is>
          <t>2024-01-15</t>
        </is>
      </c>
      <c r="O7" s="10" t="n">
        <v>42</v>
      </c>
      <c r="P7" s="8" t="inlineStr">
        <is>
          <t>正常活躍</t>
        </is>
      </c>
    </row>
    <row r="8" ht="20" customHeight="1">
      <c r="A8" s="4" t="inlineStr">
        <is>
          <t>M20260005</t>
        </is>
      </c>
      <c r="B8" s="5" t="inlineStr">
        <is>
          <t>郭宇軒</t>
        </is>
      </c>
      <c r="C8" s="4" t="inlineStr">
        <is>
          <t>男</t>
        </is>
      </c>
      <c r="D8" s="6" t="n">
        <v>24</v>
      </c>
      <c r="E8" s="5" t="inlineStr">
        <is>
          <t>新北市</t>
        </is>
      </c>
      <c r="F8" s="5" t="inlineStr">
        <is>
          <t>nzwasrng24@hotmail.com</t>
        </is>
      </c>
      <c r="G8" s="4" t="inlineStr">
        <is>
          <t>0947-545-261</t>
        </is>
      </c>
      <c r="H8" s="4" t="inlineStr">
        <is>
          <t>一般會員</t>
        </is>
      </c>
      <c r="I8" s="4" t="inlineStr">
        <is>
          <t>2024-06-23</t>
        </is>
      </c>
      <c r="J8" s="4" t="inlineStr">
        <is>
          <t>KOL推薦</t>
        </is>
      </c>
      <c r="K8" s="6" t="n">
        <v>2</v>
      </c>
      <c r="L8" s="7" t="n">
        <v>4958</v>
      </c>
      <c r="M8" s="7">
        <f>ROUND(L8/K8, 0)</f>
        <v/>
      </c>
      <c r="N8" s="4" t="inlineStr">
        <is>
          <t>2024-10-09</t>
        </is>
      </c>
      <c r="O8" s="6" t="n">
        <v>135</v>
      </c>
      <c r="P8" s="4" t="inlineStr">
        <is>
          <t>正常活躍</t>
        </is>
      </c>
    </row>
    <row r="9" ht="20" customHeight="1">
      <c r="A9" s="8" t="inlineStr">
        <is>
          <t>M20260006</t>
        </is>
      </c>
      <c r="B9" s="9" t="inlineStr">
        <is>
          <t>李建宏</t>
        </is>
      </c>
      <c r="C9" s="8" t="inlineStr">
        <is>
          <t>男</t>
        </is>
      </c>
      <c r="D9" s="10" t="n">
        <v>30</v>
      </c>
      <c r="E9" s="9" t="inlineStr">
        <is>
          <t>桃園市</t>
        </is>
      </c>
      <c r="F9" s="9" t="inlineStr">
        <is>
          <t>pmcjz40@hotmail.com</t>
        </is>
      </c>
      <c r="G9" s="8" t="inlineStr">
        <is>
          <t>0917-346-999</t>
        </is>
      </c>
      <c r="H9" s="8" t="inlineStr">
        <is>
          <t>銀卡會員</t>
        </is>
      </c>
      <c r="I9" s="8" t="inlineStr">
        <is>
          <t>2023-06-11</t>
        </is>
      </c>
      <c r="J9" s="8" t="inlineStr">
        <is>
          <t>官網註冊</t>
        </is>
      </c>
      <c r="K9" s="10" t="n">
        <v>10</v>
      </c>
      <c r="L9" s="11" t="n">
        <v>10267</v>
      </c>
      <c r="M9" s="11">
        <f>ROUND(L9/K9, 0)</f>
        <v/>
      </c>
      <c r="N9" s="8" t="inlineStr">
        <is>
          <t>2026-06-05</t>
        </is>
      </c>
      <c r="O9" s="10" t="n">
        <v>259</v>
      </c>
      <c r="P9" s="8" t="inlineStr">
        <is>
          <t>正常活躍</t>
        </is>
      </c>
    </row>
    <row r="10" ht="20" customHeight="1">
      <c r="A10" s="4" t="inlineStr">
        <is>
          <t>M20260007</t>
        </is>
      </c>
      <c r="B10" s="5" t="inlineStr">
        <is>
          <t>廖佳穎</t>
        </is>
      </c>
      <c r="C10" s="4" t="inlineStr">
        <is>
          <t>女</t>
        </is>
      </c>
      <c r="D10" s="6" t="n">
        <v>36</v>
      </c>
      <c r="E10" s="5" t="inlineStr">
        <is>
          <t>桃園市</t>
        </is>
      </c>
      <c r="F10" s="5" t="inlineStr">
        <is>
          <t>zytrskrj25@icloud.com</t>
        </is>
      </c>
      <c r="G10" s="4" t="inlineStr">
        <is>
          <t>0941-330-165</t>
        </is>
      </c>
      <c r="H10" s="4" t="inlineStr">
        <is>
          <t>一般會員</t>
        </is>
      </c>
      <c r="I10" s="4" t="inlineStr">
        <is>
          <t>2026-04-19</t>
        </is>
      </c>
      <c r="J10" s="4" t="inlineStr">
        <is>
          <t>KOL推薦</t>
        </is>
      </c>
      <c r="K10" s="6" t="n">
        <v>2</v>
      </c>
      <c r="L10" s="7" t="n">
        <v>5620</v>
      </c>
      <c r="M10" s="7">
        <f>ROUND(L10/K10, 0)</f>
        <v/>
      </c>
      <c r="N10" s="4" t="inlineStr">
        <is>
          <t>2026-05-17</t>
        </is>
      </c>
      <c r="O10" s="6" t="n">
        <v>57</v>
      </c>
      <c r="P10" s="4" t="inlineStr">
        <is>
          <t>正常活躍</t>
        </is>
      </c>
    </row>
    <row r="11" ht="20" customHeight="1">
      <c r="A11" s="8" t="inlineStr">
        <is>
          <t>M20260008</t>
        </is>
      </c>
      <c r="B11" s="9" t="inlineStr">
        <is>
          <t>劉宗憲</t>
        </is>
      </c>
      <c r="C11" s="8" t="inlineStr">
        <is>
          <t>男</t>
        </is>
      </c>
      <c r="D11" s="10" t="n">
        <v>22</v>
      </c>
      <c r="E11" s="9" t="inlineStr">
        <is>
          <t>高雄市</t>
        </is>
      </c>
      <c r="F11" s="9" t="inlineStr">
        <is>
          <t>nhmos41@icloud.com</t>
        </is>
      </c>
      <c r="G11" s="8" t="inlineStr">
        <is>
          <t>0970-926-516</t>
        </is>
      </c>
      <c r="H11" s="8" t="inlineStr">
        <is>
          <t>一般會員</t>
        </is>
      </c>
      <c r="I11" s="8" t="inlineStr">
        <is>
          <t>2023-07-18</t>
        </is>
      </c>
      <c r="J11" s="8" t="inlineStr">
        <is>
          <t>親友推薦</t>
        </is>
      </c>
      <c r="K11" s="10" t="n">
        <v>4</v>
      </c>
      <c r="L11" s="11" t="n">
        <v>3702</v>
      </c>
      <c r="M11" s="11">
        <f>ROUND(L11/K11, 0)</f>
        <v/>
      </c>
      <c r="N11" s="8" t="inlineStr">
        <is>
          <t>2025-12-01</t>
        </is>
      </c>
      <c r="O11" s="10" t="n">
        <v>67</v>
      </c>
      <c r="P11" s="8" t="inlineStr">
        <is>
          <t>沈睡會員</t>
        </is>
      </c>
    </row>
    <row r="12" ht="20" customHeight="1">
      <c r="A12" s="4" t="inlineStr">
        <is>
          <t>M20260009</t>
        </is>
      </c>
      <c r="B12" s="5" t="inlineStr">
        <is>
          <t>張冠宇</t>
        </is>
      </c>
      <c r="C12" s="4" t="inlineStr">
        <is>
          <t>男</t>
        </is>
      </c>
      <c r="D12" s="6" t="n">
        <v>45</v>
      </c>
      <c r="E12" s="5" t="inlineStr">
        <is>
          <t>台中市</t>
        </is>
      </c>
      <c r="F12" s="5" t="inlineStr">
        <is>
          <t>gelkh19@yahoo.com.tw</t>
        </is>
      </c>
      <c r="G12" s="4" t="inlineStr">
        <is>
          <t>0966-927-982</t>
        </is>
      </c>
      <c r="H12" s="4" t="inlineStr">
        <is>
          <t>金卡會員</t>
        </is>
      </c>
      <c r="I12" s="4" t="inlineStr">
        <is>
          <t>2023-07-20</t>
        </is>
      </c>
      <c r="J12" s="4" t="inlineStr">
        <is>
          <t>官網註冊</t>
        </is>
      </c>
      <c r="K12" s="6" t="n">
        <v>18</v>
      </c>
      <c r="L12" s="7" t="n">
        <v>60427</v>
      </c>
      <c r="M12" s="7">
        <f>ROUND(L12/K12, 0)</f>
        <v/>
      </c>
      <c r="N12" s="4" t="inlineStr">
        <is>
          <t>2023-08-19</t>
        </is>
      </c>
      <c r="O12" s="6" t="n">
        <v>1775</v>
      </c>
      <c r="P12" s="4" t="inlineStr">
        <is>
          <t>沈睡會員</t>
        </is>
      </c>
    </row>
    <row r="13" ht="20" customHeight="1">
      <c r="A13" s="8" t="inlineStr">
        <is>
          <t>M20260010</t>
        </is>
      </c>
      <c r="B13" s="9" t="inlineStr">
        <is>
          <t>王冠廷</t>
        </is>
      </c>
      <c r="C13" s="8" t="inlineStr">
        <is>
          <t>男</t>
        </is>
      </c>
      <c r="D13" s="10" t="n">
        <v>51</v>
      </c>
      <c r="E13" s="9" t="inlineStr">
        <is>
          <t>桃園市</t>
        </is>
      </c>
      <c r="F13" s="9" t="inlineStr">
        <is>
          <t>xeakyuhs29@icloud.com</t>
        </is>
      </c>
      <c r="G13" s="8" t="inlineStr">
        <is>
          <t>0934-403-322</t>
        </is>
      </c>
      <c r="H13" s="8" t="inlineStr">
        <is>
          <t>黑卡尊榮</t>
        </is>
      </c>
      <c r="I13" s="8" t="inlineStr">
        <is>
          <t>2026-04-01</t>
        </is>
      </c>
      <c r="J13" s="8" t="inlineStr">
        <is>
          <t>親友推薦</t>
        </is>
      </c>
      <c r="K13" s="10" t="n">
        <v>32</v>
      </c>
      <c r="L13" s="11" t="n">
        <v>72989</v>
      </c>
      <c r="M13" s="11">
        <f>ROUND(L13/K13, 0)</f>
        <v/>
      </c>
      <c r="N13" s="8" t="inlineStr">
        <is>
          <t>2026-07-05</t>
        </is>
      </c>
      <c r="O13" s="10" t="n">
        <v>1187</v>
      </c>
      <c r="P13" s="8" t="inlineStr">
        <is>
          <t>正常活躍</t>
        </is>
      </c>
    </row>
    <row r="14" ht="20" customHeight="1">
      <c r="A14" s="4" t="inlineStr">
        <is>
          <t>M20260011</t>
        </is>
      </c>
      <c r="B14" s="5" t="inlineStr">
        <is>
          <t>邱思妤</t>
        </is>
      </c>
      <c r="C14" s="4" t="inlineStr">
        <is>
          <t>女</t>
        </is>
      </c>
      <c r="D14" s="6" t="n">
        <v>53</v>
      </c>
      <c r="E14" s="5" t="inlineStr">
        <is>
          <t>台北市</t>
        </is>
      </c>
      <c r="F14" s="5" t="inlineStr">
        <is>
          <t>wbbwk84@yahoo.com.tw</t>
        </is>
      </c>
      <c r="G14" s="4" t="inlineStr">
        <is>
          <t>0986-140-734</t>
        </is>
      </c>
      <c r="H14" s="4" t="inlineStr">
        <is>
          <t>一般會員</t>
        </is>
      </c>
      <c r="I14" s="4" t="inlineStr">
        <is>
          <t>2026-04-10</t>
        </is>
      </c>
      <c r="J14" s="4" t="inlineStr">
        <is>
          <t>KOL推薦</t>
        </is>
      </c>
      <c r="K14" s="6" t="n">
        <v>5</v>
      </c>
      <c r="L14" s="7" t="n">
        <v>3391</v>
      </c>
      <c r="M14" s="7">
        <f>ROUND(L14/K14, 0)</f>
        <v/>
      </c>
      <c r="N14" s="4" t="inlineStr">
        <is>
          <t>2026-05-13</t>
        </is>
      </c>
      <c r="O14" s="6" t="n">
        <v>47</v>
      </c>
      <c r="P14" s="4" t="inlineStr">
        <is>
          <t>正常活躍</t>
        </is>
      </c>
    </row>
    <row r="15" ht="20" customHeight="1">
      <c r="A15" s="8" t="inlineStr">
        <is>
          <t>M20260012</t>
        </is>
      </c>
      <c r="B15" s="9" t="inlineStr">
        <is>
          <t>蔡冠廷</t>
        </is>
      </c>
      <c r="C15" s="8" t="inlineStr">
        <is>
          <t>男</t>
        </is>
      </c>
      <c r="D15" s="10" t="n">
        <v>28</v>
      </c>
      <c r="E15" s="9" t="inlineStr">
        <is>
          <t>台中市</t>
        </is>
      </c>
      <c r="F15" s="9" t="inlineStr">
        <is>
          <t>lyyaqoc74@yahoo.com.tw</t>
        </is>
      </c>
      <c r="G15" s="8" t="inlineStr">
        <is>
          <t>0943-235-457</t>
        </is>
      </c>
      <c r="H15" s="8" t="inlineStr">
        <is>
          <t>金卡會員</t>
        </is>
      </c>
      <c r="I15" s="8" t="inlineStr">
        <is>
          <t>2024-05-15</t>
        </is>
      </c>
      <c r="J15" s="8" t="inlineStr">
        <is>
          <t>FB廣告</t>
        </is>
      </c>
      <c r="K15" s="10" t="n">
        <v>12</v>
      </c>
      <c r="L15" s="11" t="n">
        <v>35338</v>
      </c>
      <c r="M15" s="11">
        <f>ROUND(L15/K15, 0)</f>
        <v/>
      </c>
      <c r="N15" s="8" t="inlineStr">
        <is>
          <t>2025-08-06</t>
        </is>
      </c>
      <c r="O15" s="10" t="n">
        <v>942</v>
      </c>
      <c r="P15" s="8" t="inlineStr">
        <is>
          <t>正常活躍</t>
        </is>
      </c>
    </row>
    <row r="16" ht="20" customHeight="1">
      <c r="A16" s="4" t="inlineStr">
        <is>
          <t>M20260013</t>
        </is>
      </c>
      <c r="B16" s="5" t="inlineStr">
        <is>
          <t>廖俊宏</t>
        </is>
      </c>
      <c r="C16" s="4" t="inlineStr">
        <is>
          <t>男</t>
        </is>
      </c>
      <c r="D16" s="6" t="n">
        <v>62</v>
      </c>
      <c r="E16" s="5" t="inlineStr">
        <is>
          <t>台北市</t>
        </is>
      </c>
      <c r="F16" s="5" t="inlineStr">
        <is>
          <t>gxtehf36@hotmail.com</t>
        </is>
      </c>
      <c r="G16" s="4" t="inlineStr">
        <is>
          <t>0997-749-973</t>
        </is>
      </c>
      <c r="H16" s="4" t="inlineStr">
        <is>
          <t>一般會員</t>
        </is>
      </c>
      <c r="I16" s="4" t="inlineStr">
        <is>
          <t>2025-09-27</t>
        </is>
      </c>
      <c r="J16" s="4" t="inlineStr">
        <is>
          <t>FB廣告</t>
        </is>
      </c>
      <c r="K16" s="6" t="n">
        <v>1</v>
      </c>
      <c r="L16" s="7" t="n">
        <v>1556</v>
      </c>
      <c r="M16" s="7">
        <f>ROUND(L16/K16, 0)</f>
        <v/>
      </c>
      <c r="N16" s="4" t="inlineStr">
        <is>
          <t>2026-05-01</t>
        </is>
      </c>
      <c r="O16" s="6" t="n">
        <v>41</v>
      </c>
      <c r="P16" s="4" t="inlineStr">
        <is>
          <t>正常活躍</t>
        </is>
      </c>
    </row>
    <row r="17" ht="20" customHeight="1">
      <c r="A17" s="8" t="inlineStr">
        <is>
          <t>M20260014</t>
        </is>
      </c>
      <c r="B17" s="9" t="inlineStr">
        <is>
          <t>李詠晴</t>
        </is>
      </c>
      <c r="C17" s="8" t="inlineStr">
        <is>
          <t>女</t>
        </is>
      </c>
      <c r="D17" s="10" t="n">
        <v>36</v>
      </c>
      <c r="E17" s="9" t="inlineStr">
        <is>
          <t>台北市</t>
        </is>
      </c>
      <c r="F17" s="9" t="inlineStr">
        <is>
          <t>olabwxov65@yahoo.com.tw</t>
        </is>
      </c>
      <c r="G17" s="8" t="inlineStr">
        <is>
          <t>0926-142-415</t>
        </is>
      </c>
      <c r="H17" s="8" t="inlineStr">
        <is>
          <t>一般會員</t>
        </is>
      </c>
      <c r="I17" s="8" t="inlineStr">
        <is>
          <t>2023-03-23</t>
        </is>
      </c>
      <c r="J17" s="8" t="inlineStr">
        <is>
          <t>FB廣告</t>
        </is>
      </c>
      <c r="K17" s="10" t="n">
        <v>2</v>
      </c>
      <c r="L17" s="11" t="n">
        <v>6387</v>
      </c>
      <c r="M17" s="11">
        <f>ROUND(L17/K17, 0)</f>
        <v/>
      </c>
      <c r="N17" s="8" t="inlineStr">
        <is>
          <t>2024-08-15</t>
        </is>
      </c>
      <c r="O17" s="10" t="n">
        <v>149</v>
      </c>
      <c r="P17" s="8" t="inlineStr">
        <is>
          <t>正常活躍</t>
        </is>
      </c>
    </row>
    <row r="18" ht="20" customHeight="1">
      <c r="A18" s="4" t="inlineStr">
        <is>
          <t>M20260015</t>
        </is>
      </c>
      <c r="B18" s="5" t="inlineStr">
        <is>
          <t>周子晴</t>
        </is>
      </c>
      <c r="C18" s="4" t="inlineStr">
        <is>
          <t>女</t>
        </is>
      </c>
      <c r="D18" s="6" t="n">
        <v>29</v>
      </c>
      <c r="E18" s="5" t="inlineStr">
        <is>
          <t>新竹市</t>
        </is>
      </c>
      <c r="F18" s="5" t="inlineStr">
        <is>
          <t>wzvwat62@hotmail.com</t>
        </is>
      </c>
      <c r="G18" s="4" t="inlineStr">
        <is>
          <t>0995-984-852</t>
        </is>
      </c>
      <c r="H18" s="4" t="inlineStr">
        <is>
          <t>金卡會員</t>
        </is>
      </c>
      <c r="I18" s="4" t="inlineStr">
        <is>
          <t>2024-06-30</t>
        </is>
      </c>
      <c r="J18" s="4" t="inlineStr">
        <is>
          <t>實體門市</t>
        </is>
      </c>
      <c r="K18" s="6" t="n">
        <v>20</v>
      </c>
      <c r="L18" s="7" t="n">
        <v>32084</v>
      </c>
      <c r="M18" s="7">
        <f>ROUND(L18/K18, 0)</f>
        <v/>
      </c>
      <c r="N18" s="4" t="inlineStr">
        <is>
          <t>2025-07-26</t>
        </is>
      </c>
      <c r="O18" s="6" t="n">
        <v>880</v>
      </c>
      <c r="P18" s="4" t="inlineStr">
        <is>
          <t>沈睡會員</t>
        </is>
      </c>
    </row>
    <row r="19" ht="20" customHeight="1">
      <c r="A19" s="8" t="inlineStr">
        <is>
          <t>M20260016</t>
        </is>
      </c>
      <c r="B19" s="9" t="inlineStr">
        <is>
          <t>吳致遠</t>
        </is>
      </c>
      <c r="C19" s="8" t="inlineStr">
        <is>
          <t>男</t>
        </is>
      </c>
      <c r="D19" s="10" t="n">
        <v>49</v>
      </c>
      <c r="E19" s="9" t="inlineStr">
        <is>
          <t>新北市</t>
        </is>
      </c>
      <c r="F19" s="9" t="inlineStr">
        <is>
          <t>frkhbu92@hotmail.com</t>
        </is>
      </c>
      <c r="G19" s="8" t="inlineStr">
        <is>
          <t>0975-509-795</t>
        </is>
      </c>
      <c r="H19" s="8" t="inlineStr">
        <is>
          <t>黑卡尊榮</t>
        </is>
      </c>
      <c r="I19" s="8" t="inlineStr">
        <is>
          <t>2026-01-03</t>
        </is>
      </c>
      <c r="J19" s="8" t="inlineStr">
        <is>
          <t>FB廣告</t>
        </is>
      </c>
      <c r="K19" s="10" t="n">
        <v>45</v>
      </c>
      <c r="L19" s="11" t="n">
        <v>68617</v>
      </c>
      <c r="M19" s="11">
        <f>ROUND(L19/K19, 0)</f>
        <v/>
      </c>
      <c r="N19" s="8" t="inlineStr">
        <is>
          <t>2026-02-01</t>
        </is>
      </c>
      <c r="O19" s="10" t="n">
        <v>1889</v>
      </c>
      <c r="P19" s="8" t="inlineStr">
        <is>
          <t>正常活躍</t>
        </is>
      </c>
    </row>
    <row r="20" ht="20" customHeight="1">
      <c r="A20" s="4" t="inlineStr">
        <is>
          <t>M20260017</t>
        </is>
      </c>
      <c r="B20" s="5" t="inlineStr">
        <is>
          <t>林婷婷</t>
        </is>
      </c>
      <c r="C20" s="4" t="inlineStr">
        <is>
          <t>女</t>
        </is>
      </c>
      <c r="D20" s="6" t="n">
        <v>58</v>
      </c>
      <c r="E20" s="5" t="inlineStr">
        <is>
          <t>新北市</t>
        </is>
      </c>
      <c r="F20" s="5" t="inlineStr">
        <is>
          <t>lzdxebl56@yahoo.com.tw</t>
        </is>
      </c>
      <c r="G20" s="4" t="inlineStr">
        <is>
          <t>0965-171-780</t>
        </is>
      </c>
      <c r="H20" s="4" t="inlineStr">
        <is>
          <t>金卡會員</t>
        </is>
      </c>
      <c r="I20" s="4" t="inlineStr">
        <is>
          <t>2026-06-30</t>
        </is>
      </c>
      <c r="J20" s="4" t="inlineStr">
        <is>
          <t>FB廣告</t>
        </is>
      </c>
      <c r="K20" s="6" t="n">
        <v>18</v>
      </c>
      <c r="L20" s="7" t="n">
        <v>33167</v>
      </c>
      <c r="M20" s="7">
        <f>ROUND(L20/K20, 0)</f>
        <v/>
      </c>
      <c r="N20" s="4" t="inlineStr">
        <is>
          <t>2026-07-19</t>
        </is>
      </c>
      <c r="O20" s="6" t="n">
        <v>668</v>
      </c>
      <c r="P20" s="4" t="inlineStr">
        <is>
          <t>正常活躍</t>
        </is>
      </c>
    </row>
    <row r="21" ht="20" customHeight="1">
      <c r="A21" s="8" t="inlineStr">
        <is>
          <t>M20260018</t>
        </is>
      </c>
      <c r="B21" s="9" t="inlineStr">
        <is>
          <t>謝子晴</t>
        </is>
      </c>
      <c r="C21" s="8" t="inlineStr">
        <is>
          <t>女</t>
        </is>
      </c>
      <c r="D21" s="10" t="n">
        <v>38</v>
      </c>
      <c r="E21" s="9" t="inlineStr">
        <is>
          <t>桃園市</t>
        </is>
      </c>
      <c r="F21" s="9" t="inlineStr">
        <is>
          <t>kyrxqh48@gmail.com</t>
        </is>
      </c>
      <c r="G21" s="8" t="inlineStr">
        <is>
          <t>0946-315-540</t>
        </is>
      </c>
      <c r="H21" s="8" t="inlineStr">
        <is>
          <t>金卡會員</t>
        </is>
      </c>
      <c r="I21" s="8" t="inlineStr">
        <is>
          <t>2026-05-27</t>
        </is>
      </c>
      <c r="J21" s="8" t="inlineStr">
        <is>
          <t>親友推薦</t>
        </is>
      </c>
      <c r="K21" s="10" t="n">
        <v>13</v>
      </c>
      <c r="L21" s="11" t="n">
        <v>55473</v>
      </c>
      <c r="M21" s="11">
        <f>ROUND(L21/K21, 0)</f>
        <v/>
      </c>
      <c r="N21" s="8" t="inlineStr">
        <is>
          <t>2026-07-22</t>
        </is>
      </c>
      <c r="O21" s="10" t="n">
        <v>1045</v>
      </c>
      <c r="P21" s="8" t="inlineStr">
        <is>
          <t>正常活躍</t>
        </is>
      </c>
    </row>
    <row r="22" ht="20" customHeight="1">
      <c r="A22" s="4" t="inlineStr">
        <is>
          <t>M20260019</t>
        </is>
      </c>
      <c r="B22" s="5" t="inlineStr">
        <is>
          <t>王詠晴</t>
        </is>
      </c>
      <c r="C22" s="4" t="inlineStr">
        <is>
          <t>女</t>
        </is>
      </c>
      <c r="D22" s="6" t="n">
        <v>25</v>
      </c>
      <c r="E22" s="5" t="inlineStr">
        <is>
          <t>新北市</t>
        </is>
      </c>
      <c r="F22" s="5" t="inlineStr">
        <is>
          <t>cygiudb88@icloud.com</t>
        </is>
      </c>
      <c r="G22" s="4" t="inlineStr">
        <is>
          <t>0919-566-524</t>
        </is>
      </c>
      <c r="H22" s="4" t="inlineStr">
        <is>
          <t>金卡會員</t>
        </is>
      </c>
      <c r="I22" s="4" t="inlineStr">
        <is>
          <t>2026-03-24</t>
        </is>
      </c>
      <c r="J22" s="4" t="inlineStr">
        <is>
          <t>實體門市</t>
        </is>
      </c>
      <c r="K22" s="6" t="n">
        <v>19</v>
      </c>
      <c r="L22" s="7" t="n">
        <v>50164</v>
      </c>
      <c r="M22" s="7">
        <f>ROUND(L22/K22, 0)</f>
        <v/>
      </c>
      <c r="N22" s="4" t="inlineStr">
        <is>
          <t>2026-07-28</t>
        </is>
      </c>
      <c r="O22" s="6" t="n">
        <v>902</v>
      </c>
      <c r="P22" s="4" t="inlineStr">
        <is>
          <t>正常活躍</t>
        </is>
      </c>
    </row>
    <row r="23" ht="20" customHeight="1">
      <c r="A23" s="8" t="inlineStr">
        <is>
          <t>M20260020</t>
        </is>
      </c>
      <c r="B23" s="9" t="inlineStr">
        <is>
          <t>張凱文</t>
        </is>
      </c>
      <c r="C23" s="8" t="inlineStr">
        <is>
          <t>男</t>
        </is>
      </c>
      <c r="D23" s="10" t="n">
        <v>47</v>
      </c>
      <c r="E23" s="9" t="inlineStr">
        <is>
          <t>台北市</t>
        </is>
      </c>
      <c r="F23" s="9" t="inlineStr">
        <is>
          <t>bgwlurzp88@icloud.com</t>
        </is>
      </c>
      <c r="G23" s="8" t="inlineStr">
        <is>
          <t>0974-536-950</t>
        </is>
      </c>
      <c r="H23" s="8" t="inlineStr">
        <is>
          <t>金卡會員</t>
        </is>
      </c>
      <c r="I23" s="8" t="inlineStr">
        <is>
          <t>2025-07-02</t>
        </is>
      </c>
      <c r="J23" s="8" t="inlineStr">
        <is>
          <t>實體門市</t>
        </is>
      </c>
      <c r="K23" s="10" t="n">
        <v>19</v>
      </c>
      <c r="L23" s="11" t="n">
        <v>56108</v>
      </c>
      <c r="M23" s="11">
        <f>ROUND(L23/K23, 0)</f>
        <v/>
      </c>
      <c r="N23" s="8" t="inlineStr">
        <is>
          <t>2026-02-17</t>
        </is>
      </c>
      <c r="O23" s="10" t="n">
        <v>851</v>
      </c>
      <c r="P23" s="8" t="inlineStr">
        <is>
          <t>正常活躍</t>
        </is>
      </c>
    </row>
    <row r="24" ht="20" customHeight="1">
      <c r="A24" s="4" t="inlineStr">
        <is>
          <t>M20260021</t>
        </is>
      </c>
      <c r="B24" s="5" t="inlineStr">
        <is>
          <t>邱依婷</t>
        </is>
      </c>
      <c r="C24" s="4" t="inlineStr">
        <is>
          <t>女</t>
        </is>
      </c>
      <c r="D24" s="6" t="n">
        <v>60</v>
      </c>
      <c r="E24" s="5" t="inlineStr">
        <is>
          <t>台北市</t>
        </is>
      </c>
      <c r="F24" s="5" t="inlineStr">
        <is>
          <t>chhiodgs18@yahoo.com.tw</t>
        </is>
      </c>
      <c r="G24" s="4" t="inlineStr">
        <is>
          <t>0963-517-438</t>
        </is>
      </c>
      <c r="H24" s="4" t="inlineStr">
        <is>
          <t>銀卡會員</t>
        </is>
      </c>
      <c r="I24" s="4" t="inlineStr">
        <is>
          <t>2025-05-01</t>
        </is>
      </c>
      <c r="J24" s="4" t="inlineStr">
        <is>
          <t>官網註冊</t>
        </is>
      </c>
      <c r="K24" s="6" t="n">
        <v>6</v>
      </c>
      <c r="L24" s="7" t="n">
        <v>21767</v>
      </c>
      <c r="M24" s="7">
        <f>ROUND(L24/K24, 0)</f>
        <v/>
      </c>
      <c r="N24" s="4" t="inlineStr">
        <is>
          <t>2025-11-16</t>
        </is>
      </c>
      <c r="O24" s="6" t="n">
        <v>611</v>
      </c>
      <c r="P24" s="4" t="inlineStr">
        <is>
          <t>正常活躍</t>
        </is>
      </c>
    </row>
    <row r="25" ht="20" customHeight="1">
      <c r="A25" s="8" t="inlineStr">
        <is>
          <t>M20260022</t>
        </is>
      </c>
      <c r="B25" s="9" t="inlineStr">
        <is>
          <t>賴冠廷</t>
        </is>
      </c>
      <c r="C25" s="8" t="inlineStr">
        <is>
          <t>男</t>
        </is>
      </c>
      <c r="D25" s="10" t="n">
        <v>50</v>
      </c>
      <c r="E25" s="9" t="inlineStr">
        <is>
          <t>台北市</t>
        </is>
      </c>
      <c r="F25" s="9" t="inlineStr">
        <is>
          <t>hkxvntu72@yahoo.com.tw</t>
        </is>
      </c>
      <c r="G25" s="8" t="inlineStr">
        <is>
          <t>0938-379-546</t>
        </is>
      </c>
      <c r="H25" s="8" t="inlineStr">
        <is>
          <t>一般會員</t>
        </is>
      </c>
      <c r="I25" s="8" t="inlineStr">
        <is>
          <t>2025-03-07</t>
        </is>
      </c>
      <c r="J25" s="8" t="inlineStr">
        <is>
          <t>FB廣告</t>
        </is>
      </c>
      <c r="K25" s="10" t="n">
        <v>6</v>
      </c>
      <c r="L25" s="11" t="n">
        <v>6363</v>
      </c>
      <c r="M25" s="11">
        <f>ROUND(L25/K25, 0)</f>
        <v/>
      </c>
      <c r="N25" s="8" t="inlineStr">
        <is>
          <t>2026-04-25</t>
        </is>
      </c>
      <c r="O25" s="10" t="n">
        <v>155</v>
      </c>
      <c r="P25" s="8" t="inlineStr">
        <is>
          <t>沈睡會員</t>
        </is>
      </c>
    </row>
    <row r="26" ht="20" customHeight="1">
      <c r="A26" s="4" t="inlineStr">
        <is>
          <t>M20260023</t>
        </is>
      </c>
      <c r="B26" s="5" t="inlineStr">
        <is>
          <t>周承恩</t>
        </is>
      </c>
      <c r="C26" s="4" t="inlineStr">
        <is>
          <t>男</t>
        </is>
      </c>
      <c r="D26" s="6" t="n">
        <v>21</v>
      </c>
      <c r="E26" s="5" t="inlineStr">
        <is>
          <t>高雄市</t>
        </is>
      </c>
      <c r="F26" s="5" t="inlineStr">
        <is>
          <t>clweg37@hotmail.com</t>
        </is>
      </c>
      <c r="G26" s="4" t="inlineStr">
        <is>
          <t>0968-434-445</t>
        </is>
      </c>
      <c r="H26" s="4" t="inlineStr">
        <is>
          <t>銀卡會員</t>
        </is>
      </c>
      <c r="I26" s="4" t="inlineStr">
        <is>
          <t>2025-02-15</t>
        </is>
      </c>
      <c r="J26" s="4" t="inlineStr">
        <is>
          <t>FB廣告</t>
        </is>
      </c>
      <c r="K26" s="6" t="n">
        <v>9</v>
      </c>
      <c r="L26" s="7" t="n">
        <v>16266</v>
      </c>
      <c r="M26" s="7">
        <f>ROUND(L26/K26, 0)</f>
        <v/>
      </c>
      <c r="N26" s="4" t="inlineStr">
        <is>
          <t>2025-05-09</t>
        </is>
      </c>
      <c r="O26" s="6" t="n">
        <v>315</v>
      </c>
      <c r="P26" s="4" t="inlineStr">
        <is>
          <t>正常活躍</t>
        </is>
      </c>
    </row>
    <row r="27" ht="20" customHeight="1">
      <c r="A27" s="8" t="inlineStr">
        <is>
          <t>M20260024</t>
        </is>
      </c>
      <c r="B27" s="9" t="inlineStr">
        <is>
          <t>鄭柏翰</t>
        </is>
      </c>
      <c r="C27" s="8" t="inlineStr">
        <is>
          <t>男</t>
        </is>
      </c>
      <c r="D27" s="10" t="n">
        <v>61</v>
      </c>
      <c r="E27" s="9" t="inlineStr">
        <is>
          <t>台北市</t>
        </is>
      </c>
      <c r="F27" s="9" t="inlineStr">
        <is>
          <t>tyfad70@yahoo.com.tw</t>
        </is>
      </c>
      <c r="G27" s="8" t="inlineStr">
        <is>
          <t>0995-217-677</t>
        </is>
      </c>
      <c r="H27" s="8" t="inlineStr">
        <is>
          <t>黑卡尊榮</t>
        </is>
      </c>
      <c r="I27" s="8" t="inlineStr">
        <is>
          <t>2025-08-10</t>
        </is>
      </c>
      <c r="J27" s="8" t="inlineStr">
        <is>
          <t>親友推薦</t>
        </is>
      </c>
      <c r="K27" s="10" t="n">
        <v>23</v>
      </c>
      <c r="L27" s="11" t="n">
        <v>165518</v>
      </c>
      <c r="M27" s="11">
        <f>ROUND(L27/K27, 0)</f>
        <v/>
      </c>
      <c r="N27" s="8" t="inlineStr">
        <is>
          <t>2026-02-14</t>
        </is>
      </c>
      <c r="O27" s="10" t="n">
        <v>2210</v>
      </c>
      <c r="P27" s="8" t="inlineStr">
        <is>
          <t>正常活躍</t>
        </is>
      </c>
    </row>
    <row r="28" ht="20" customHeight="1">
      <c r="A28" s="4" t="inlineStr">
        <is>
          <t>M20260025</t>
        </is>
      </c>
      <c r="B28" s="5" t="inlineStr">
        <is>
          <t>王俊宏</t>
        </is>
      </c>
      <c r="C28" s="4" t="inlineStr">
        <is>
          <t>男</t>
        </is>
      </c>
      <c r="D28" s="6" t="n">
        <v>26</v>
      </c>
      <c r="E28" s="5" t="inlineStr">
        <is>
          <t>桃園市</t>
        </is>
      </c>
      <c r="F28" s="5" t="inlineStr">
        <is>
          <t>oxjyfpv23@yahoo.com.tw</t>
        </is>
      </c>
      <c r="G28" s="4" t="inlineStr">
        <is>
          <t>0999-891-408</t>
        </is>
      </c>
      <c r="H28" s="4" t="inlineStr">
        <is>
          <t>金卡會員</t>
        </is>
      </c>
      <c r="I28" s="4" t="inlineStr">
        <is>
          <t>2026-05-14</t>
        </is>
      </c>
      <c r="J28" s="4" t="inlineStr">
        <is>
          <t>官網註冊</t>
        </is>
      </c>
      <c r="K28" s="6" t="n">
        <v>20</v>
      </c>
      <c r="L28" s="7" t="n">
        <v>62088</v>
      </c>
      <c r="M28" s="7">
        <f>ROUND(L28/K28, 0)</f>
        <v/>
      </c>
      <c r="N28" s="4" t="inlineStr">
        <is>
          <t>2026-05-19</t>
        </is>
      </c>
      <c r="O28" s="6" t="n">
        <v>1052</v>
      </c>
      <c r="P28" s="4" t="inlineStr">
        <is>
          <t>正常活躍</t>
        </is>
      </c>
    </row>
    <row r="29" ht="20" customHeight="1">
      <c r="A29" s="8" t="inlineStr">
        <is>
          <t>M20260026</t>
        </is>
      </c>
      <c r="B29" s="9" t="inlineStr">
        <is>
          <t>黃雅筑</t>
        </is>
      </c>
      <c r="C29" s="8" t="inlineStr">
        <is>
          <t>女</t>
        </is>
      </c>
      <c r="D29" s="10" t="n">
        <v>61</v>
      </c>
      <c r="E29" s="9" t="inlineStr">
        <is>
          <t>新北市</t>
        </is>
      </c>
      <c r="F29" s="9" t="inlineStr">
        <is>
          <t>vcyqvslt88@hotmail.com</t>
        </is>
      </c>
      <c r="G29" s="8" t="inlineStr">
        <is>
          <t>0978-893-595</t>
        </is>
      </c>
      <c r="H29" s="8" t="inlineStr">
        <is>
          <t>一般會員</t>
        </is>
      </c>
      <c r="I29" s="8" t="inlineStr">
        <is>
          <t>2026-04-28</t>
        </is>
      </c>
      <c r="J29" s="8" t="inlineStr">
        <is>
          <t>FB廣告</t>
        </is>
      </c>
      <c r="K29" s="10" t="n">
        <v>3</v>
      </c>
      <c r="L29" s="11" t="n">
        <v>7777</v>
      </c>
      <c r="M29" s="11">
        <f>ROUND(L29/K29, 0)</f>
        <v/>
      </c>
      <c r="N29" s="8" t="inlineStr">
        <is>
          <t>2026-05-29</t>
        </is>
      </c>
      <c r="O29" s="10" t="n">
        <v>206</v>
      </c>
      <c r="P29" s="8" t="inlineStr">
        <is>
          <t>正常活躍</t>
        </is>
      </c>
    </row>
    <row r="30" ht="20" customHeight="1">
      <c r="A30" s="4" t="inlineStr">
        <is>
          <t>M20260027</t>
        </is>
      </c>
      <c r="B30" s="5" t="inlineStr">
        <is>
          <t>劉詩婷</t>
        </is>
      </c>
      <c r="C30" s="4" t="inlineStr">
        <is>
          <t>女</t>
        </is>
      </c>
      <c r="D30" s="6" t="n">
        <v>49</v>
      </c>
      <c r="E30" s="5" t="inlineStr">
        <is>
          <t>桃園市</t>
        </is>
      </c>
      <c r="F30" s="5" t="inlineStr">
        <is>
          <t>imimjghp81@hotmail.com</t>
        </is>
      </c>
      <c r="G30" s="4" t="inlineStr">
        <is>
          <t>0911-629-295</t>
        </is>
      </c>
      <c r="H30" s="4" t="inlineStr">
        <is>
          <t>一般會員</t>
        </is>
      </c>
      <c r="I30" s="4" t="inlineStr">
        <is>
          <t>2025-04-12</t>
        </is>
      </c>
      <c r="J30" s="4" t="inlineStr">
        <is>
          <t>LINE官方帳號</t>
        </is>
      </c>
      <c r="K30" s="6" t="n">
        <v>5</v>
      </c>
      <c r="L30" s="7" t="n">
        <v>7010</v>
      </c>
      <c r="M30" s="7">
        <f>ROUND(L30/K30, 0)</f>
        <v/>
      </c>
      <c r="N30" s="4" t="inlineStr">
        <is>
          <t>2025-08-13</t>
        </is>
      </c>
      <c r="O30" s="6" t="n">
        <v>166</v>
      </c>
      <c r="P30" s="4" t="inlineStr">
        <is>
          <t>正常活躍</t>
        </is>
      </c>
    </row>
    <row r="31" ht="20" customHeight="1">
      <c r="A31" s="8" t="inlineStr">
        <is>
          <t>M20260028</t>
        </is>
      </c>
      <c r="B31" s="9" t="inlineStr">
        <is>
          <t>洪詩婷</t>
        </is>
      </c>
      <c r="C31" s="8" t="inlineStr">
        <is>
          <t>女</t>
        </is>
      </c>
      <c r="D31" s="10" t="n">
        <v>21</v>
      </c>
      <c r="E31" s="9" t="inlineStr">
        <is>
          <t>台北市</t>
        </is>
      </c>
      <c r="F31" s="9" t="inlineStr">
        <is>
          <t>kgrjoi55@hotmail.com</t>
        </is>
      </c>
      <c r="G31" s="8" t="inlineStr">
        <is>
          <t>0999-564-377</t>
        </is>
      </c>
      <c r="H31" s="8" t="inlineStr">
        <is>
          <t>一般會員</t>
        </is>
      </c>
      <c r="I31" s="8" t="inlineStr">
        <is>
          <t>2024-04-17</t>
        </is>
      </c>
      <c r="J31" s="8" t="inlineStr">
        <is>
          <t>官網註冊</t>
        </is>
      </c>
      <c r="K31" s="10" t="n">
        <v>6</v>
      </c>
      <c r="L31" s="11" t="n">
        <v>2377</v>
      </c>
      <c r="M31" s="11">
        <f>ROUND(L31/K31, 0)</f>
        <v/>
      </c>
      <c r="N31" s="8" t="inlineStr">
        <is>
          <t>2025-03-06</t>
        </is>
      </c>
      <c r="O31" s="10" t="n">
        <v>29</v>
      </c>
      <c r="P31" s="8" t="inlineStr">
        <is>
          <t>正常活躍</t>
        </is>
      </c>
    </row>
    <row r="32" ht="20" customHeight="1">
      <c r="A32" s="4" t="inlineStr">
        <is>
          <t>M20260029</t>
        </is>
      </c>
      <c r="B32" s="5" t="inlineStr">
        <is>
          <t>吳柏翰</t>
        </is>
      </c>
      <c r="C32" s="4" t="inlineStr">
        <is>
          <t>男</t>
        </is>
      </c>
      <c r="D32" s="6" t="n">
        <v>50</v>
      </c>
      <c r="E32" s="5" t="inlineStr">
        <is>
          <t>新北市</t>
        </is>
      </c>
      <c r="F32" s="5" t="inlineStr">
        <is>
          <t>zvhjhsd16@gmail.com</t>
        </is>
      </c>
      <c r="G32" s="4" t="inlineStr">
        <is>
          <t>0980-399-814</t>
        </is>
      </c>
      <c r="H32" s="4" t="inlineStr">
        <is>
          <t>黑卡尊榮</t>
        </is>
      </c>
      <c r="I32" s="4" t="inlineStr">
        <is>
          <t>2026-07-30</t>
        </is>
      </c>
      <c r="J32" s="4" t="inlineStr">
        <is>
          <t>LINE官方帳號</t>
        </is>
      </c>
      <c r="K32" s="6" t="n">
        <v>18</v>
      </c>
      <c r="L32" s="7" t="n">
        <v>179389</v>
      </c>
      <c r="M32" s="7">
        <f>ROUND(L32/K32, 0)</f>
        <v/>
      </c>
      <c r="N32" s="4" t="inlineStr">
        <is>
          <t>2026-07-30</t>
        </is>
      </c>
      <c r="O32" s="6" t="n">
        <v>3853</v>
      </c>
      <c r="P32" s="4" t="inlineStr">
        <is>
          <t>正常活躍</t>
        </is>
      </c>
    </row>
    <row r="33" ht="20" customHeight="1">
      <c r="A33" s="8" t="inlineStr">
        <is>
          <t>M20260030</t>
        </is>
      </c>
      <c r="B33" s="9" t="inlineStr">
        <is>
          <t>許佳穎</t>
        </is>
      </c>
      <c r="C33" s="8" t="inlineStr">
        <is>
          <t>女</t>
        </is>
      </c>
      <c r="D33" s="10" t="n">
        <v>23</v>
      </c>
      <c r="E33" s="9" t="inlineStr">
        <is>
          <t>新北市</t>
        </is>
      </c>
      <c r="F33" s="9" t="inlineStr">
        <is>
          <t>cbmprdvy41@gmail.com</t>
        </is>
      </c>
      <c r="G33" s="8" t="inlineStr">
        <is>
          <t>0925-671-882</t>
        </is>
      </c>
      <c r="H33" s="8" t="inlineStr">
        <is>
          <t>一般會員</t>
        </is>
      </c>
      <c r="I33" s="8" t="inlineStr">
        <is>
          <t>2026-05-05</t>
        </is>
      </c>
      <c r="J33" s="8" t="inlineStr">
        <is>
          <t>KOL推薦</t>
        </is>
      </c>
      <c r="K33" s="10" t="n">
        <v>2</v>
      </c>
      <c r="L33" s="11" t="n">
        <v>7154</v>
      </c>
      <c r="M33" s="11">
        <f>ROUND(L33/K33, 0)</f>
        <v/>
      </c>
      <c r="N33" s="8" t="inlineStr">
        <is>
          <t>2026-07-10</t>
        </is>
      </c>
      <c r="O33" s="10" t="n">
        <v>125</v>
      </c>
      <c r="P33" s="8" t="inlineStr">
        <is>
          <t>沈睡會員</t>
        </is>
      </c>
    </row>
    <row r="34" ht="20" customHeight="1">
      <c r="A34" s="4" t="inlineStr">
        <is>
          <t>M20260031</t>
        </is>
      </c>
      <c r="B34" s="5" t="inlineStr">
        <is>
          <t>賴佩君</t>
        </is>
      </c>
      <c r="C34" s="4" t="inlineStr">
        <is>
          <t>女</t>
        </is>
      </c>
      <c r="D34" s="6" t="n">
        <v>39</v>
      </c>
      <c r="E34" s="5" t="inlineStr">
        <is>
          <t>桃園市</t>
        </is>
      </c>
      <c r="F34" s="5" t="inlineStr">
        <is>
          <t>ptyff30@gmail.com</t>
        </is>
      </c>
      <c r="G34" s="4" t="inlineStr">
        <is>
          <t>0940-277-665</t>
        </is>
      </c>
      <c r="H34" s="4" t="inlineStr">
        <is>
          <t>一般會員</t>
        </is>
      </c>
      <c r="I34" s="4" t="inlineStr">
        <is>
          <t>2023-01-06</t>
        </is>
      </c>
      <c r="J34" s="4" t="inlineStr">
        <is>
          <t>LINE官方帳號</t>
        </is>
      </c>
      <c r="K34" s="6" t="n">
        <v>4</v>
      </c>
      <c r="L34" s="7" t="n">
        <v>6447</v>
      </c>
      <c r="M34" s="7">
        <f>ROUND(L34/K34, 0)</f>
        <v/>
      </c>
      <c r="N34" s="4" t="inlineStr">
        <is>
          <t>2026-05-06</t>
        </is>
      </c>
      <c r="O34" s="6" t="n">
        <v>125</v>
      </c>
      <c r="P34" s="4" t="inlineStr">
        <is>
          <t>正常活躍</t>
        </is>
      </c>
    </row>
    <row r="35" ht="20" customHeight="1">
      <c r="A35" s="8" t="inlineStr">
        <is>
          <t>M20260032</t>
        </is>
      </c>
      <c r="B35" s="9" t="inlineStr">
        <is>
          <t>楊子晴</t>
        </is>
      </c>
      <c r="C35" s="8" t="inlineStr">
        <is>
          <t>女</t>
        </is>
      </c>
      <c r="D35" s="10" t="n">
        <v>49</v>
      </c>
      <c r="E35" s="9" t="inlineStr">
        <is>
          <t>台北市</t>
        </is>
      </c>
      <c r="F35" s="9" t="inlineStr">
        <is>
          <t>yuqryl92@yahoo.com.tw</t>
        </is>
      </c>
      <c r="G35" s="8" t="inlineStr">
        <is>
          <t>0929-372-946</t>
        </is>
      </c>
      <c r="H35" s="8" t="inlineStr">
        <is>
          <t>一般會員</t>
        </is>
      </c>
      <c r="I35" s="8" t="inlineStr">
        <is>
          <t>2023-05-03</t>
        </is>
      </c>
      <c r="J35" s="8" t="inlineStr">
        <is>
          <t>實體門市</t>
        </is>
      </c>
      <c r="K35" s="10" t="n">
        <v>3</v>
      </c>
      <c r="L35" s="11" t="n">
        <v>5674</v>
      </c>
      <c r="M35" s="11">
        <f>ROUND(L35/K35, 0)</f>
        <v/>
      </c>
      <c r="N35" s="8" t="inlineStr">
        <is>
          <t>2026-07-11</t>
        </is>
      </c>
      <c r="O35" s="10" t="n">
        <v>161</v>
      </c>
      <c r="P35" s="8" t="inlineStr">
        <is>
          <t>正常活躍</t>
        </is>
      </c>
    </row>
    <row r="36" ht="20" customHeight="1">
      <c r="A36" s="4" t="inlineStr">
        <is>
          <t>M20260033</t>
        </is>
      </c>
      <c r="B36" s="5" t="inlineStr">
        <is>
          <t>楊子晴</t>
        </is>
      </c>
      <c r="C36" s="4" t="inlineStr">
        <is>
          <t>女</t>
        </is>
      </c>
      <c r="D36" s="6" t="n">
        <v>45</v>
      </c>
      <c r="E36" s="5" t="inlineStr">
        <is>
          <t>新竹市</t>
        </is>
      </c>
      <c r="F36" s="5" t="inlineStr">
        <is>
          <t>lpxtpafr96@gmail.com</t>
        </is>
      </c>
      <c r="G36" s="4" t="inlineStr">
        <is>
          <t>0944-690-141</t>
        </is>
      </c>
      <c r="H36" s="4" t="inlineStr">
        <is>
          <t>銀卡會員</t>
        </is>
      </c>
      <c r="I36" s="4" t="inlineStr">
        <is>
          <t>2023-12-25</t>
        </is>
      </c>
      <c r="J36" s="4" t="inlineStr">
        <is>
          <t>LINE官方帳號</t>
        </is>
      </c>
      <c r="K36" s="6" t="n">
        <v>11</v>
      </c>
      <c r="L36" s="7" t="n">
        <v>22490</v>
      </c>
      <c r="M36" s="7">
        <f>ROUND(L36/K36, 0)</f>
        <v/>
      </c>
      <c r="N36" s="4" t="inlineStr">
        <is>
          <t>2026-07-20</t>
        </is>
      </c>
      <c r="O36" s="6" t="n">
        <v>350</v>
      </c>
      <c r="P36" s="4" t="inlineStr">
        <is>
          <t>凍結</t>
        </is>
      </c>
    </row>
    <row r="37" ht="20" customHeight="1">
      <c r="A37" s="8" t="inlineStr">
        <is>
          <t>M20260034</t>
        </is>
      </c>
      <c r="B37" s="9" t="inlineStr">
        <is>
          <t>曾婷婷</t>
        </is>
      </c>
      <c r="C37" s="8" t="inlineStr">
        <is>
          <t>女</t>
        </is>
      </c>
      <c r="D37" s="10" t="n">
        <v>50</v>
      </c>
      <c r="E37" s="9" t="inlineStr">
        <is>
          <t>新北市</t>
        </is>
      </c>
      <c r="F37" s="9" t="inlineStr">
        <is>
          <t>icekmrk68@gmail.com</t>
        </is>
      </c>
      <c r="G37" s="8" t="inlineStr">
        <is>
          <t>0921-422-358</t>
        </is>
      </c>
      <c r="H37" s="8" t="inlineStr">
        <is>
          <t>一般會員</t>
        </is>
      </c>
      <c r="I37" s="8" t="inlineStr">
        <is>
          <t>2025-04-07</t>
        </is>
      </c>
      <c r="J37" s="8" t="inlineStr">
        <is>
          <t>KOL推薦</t>
        </is>
      </c>
      <c r="K37" s="10" t="n">
        <v>1</v>
      </c>
      <c r="L37" s="11" t="n">
        <v>6187</v>
      </c>
      <c r="M37" s="11">
        <f>ROUND(L37/K37, 0)</f>
        <v/>
      </c>
      <c r="N37" s="8" t="inlineStr">
        <is>
          <t>2026-06-26</t>
        </is>
      </c>
      <c r="O37" s="10" t="n">
        <v>129</v>
      </c>
      <c r="P37" s="8" t="inlineStr">
        <is>
          <t>正常活躍</t>
        </is>
      </c>
    </row>
    <row r="38" ht="20" customHeight="1">
      <c r="A38" s="4" t="inlineStr">
        <is>
          <t>M20260035</t>
        </is>
      </c>
      <c r="B38" s="5" t="inlineStr">
        <is>
          <t>邱建宏</t>
        </is>
      </c>
      <c r="C38" s="4" t="inlineStr">
        <is>
          <t>男</t>
        </is>
      </c>
      <c r="D38" s="6" t="n">
        <v>59</v>
      </c>
      <c r="E38" s="5" t="inlineStr">
        <is>
          <t>台南市</t>
        </is>
      </c>
      <c r="F38" s="5" t="inlineStr">
        <is>
          <t>tfoylsdz30@yahoo.com.tw</t>
        </is>
      </c>
      <c r="G38" s="4" t="inlineStr">
        <is>
          <t>0949-664-114</t>
        </is>
      </c>
      <c r="H38" s="4" t="inlineStr">
        <is>
          <t>銀卡會員</t>
        </is>
      </c>
      <c r="I38" s="4" t="inlineStr">
        <is>
          <t>2023-07-10</t>
        </is>
      </c>
      <c r="J38" s="4" t="inlineStr">
        <is>
          <t>實體門市</t>
        </is>
      </c>
      <c r="K38" s="6" t="n">
        <v>4</v>
      </c>
      <c r="L38" s="7" t="n">
        <v>23120</v>
      </c>
      <c r="M38" s="7">
        <f>ROUND(L38/K38, 0)</f>
        <v/>
      </c>
      <c r="N38" s="4" t="inlineStr">
        <is>
          <t>2024-03-06</t>
        </is>
      </c>
      <c r="O38" s="6" t="n">
        <v>530</v>
      </c>
      <c r="P38" s="4" t="inlineStr">
        <is>
          <t>正常活躍</t>
        </is>
      </c>
    </row>
    <row r="39" ht="20" customHeight="1">
      <c r="A39" s="8" t="inlineStr">
        <is>
          <t>M20260036</t>
        </is>
      </c>
      <c r="B39" s="9" t="inlineStr">
        <is>
          <t>邱子晴</t>
        </is>
      </c>
      <c r="C39" s="8" t="inlineStr">
        <is>
          <t>女</t>
        </is>
      </c>
      <c r="D39" s="10" t="n">
        <v>37</v>
      </c>
      <c r="E39" s="9" t="inlineStr">
        <is>
          <t>新北市</t>
        </is>
      </c>
      <c r="F39" s="9" t="inlineStr">
        <is>
          <t>zgojxnww63@hotmail.com</t>
        </is>
      </c>
      <c r="G39" s="8" t="inlineStr">
        <is>
          <t>0953-906-619</t>
        </is>
      </c>
      <c r="H39" s="8" t="inlineStr">
        <is>
          <t>一般會員</t>
        </is>
      </c>
      <c r="I39" s="8" t="inlineStr">
        <is>
          <t>2023-01-06</t>
        </is>
      </c>
      <c r="J39" s="8" t="inlineStr">
        <is>
          <t>FB廣告</t>
        </is>
      </c>
      <c r="K39" s="10" t="n">
        <v>6</v>
      </c>
      <c r="L39" s="11" t="n">
        <v>3245</v>
      </c>
      <c r="M39" s="11">
        <f>ROUND(L39/K39, 0)</f>
        <v/>
      </c>
      <c r="N39" s="8" t="inlineStr">
        <is>
          <t>2026-04-22</t>
        </is>
      </c>
      <c r="O39" s="10" t="n">
        <v>70</v>
      </c>
      <c r="P39" s="8" t="inlineStr">
        <is>
          <t>正常活躍</t>
        </is>
      </c>
    </row>
    <row r="40" ht="20" customHeight="1">
      <c r="A40" s="4" t="inlineStr">
        <is>
          <t>M20260037</t>
        </is>
      </c>
      <c r="B40" s="5" t="inlineStr">
        <is>
          <t>洪承恩</t>
        </is>
      </c>
      <c r="C40" s="4" t="inlineStr">
        <is>
          <t>男</t>
        </is>
      </c>
      <c r="D40" s="6" t="n">
        <v>50</v>
      </c>
      <c r="E40" s="5" t="inlineStr">
        <is>
          <t>新北市</t>
        </is>
      </c>
      <c r="F40" s="5" t="inlineStr">
        <is>
          <t>liesogub58@icloud.com</t>
        </is>
      </c>
      <c r="G40" s="4" t="inlineStr">
        <is>
          <t>0959-779-911</t>
        </is>
      </c>
      <c r="H40" s="4" t="inlineStr">
        <is>
          <t>金卡會員</t>
        </is>
      </c>
      <c r="I40" s="4" t="inlineStr">
        <is>
          <t>2023-11-08</t>
        </is>
      </c>
      <c r="J40" s="4" t="inlineStr">
        <is>
          <t>LINE官方帳號</t>
        </is>
      </c>
      <c r="K40" s="6" t="n">
        <v>8</v>
      </c>
      <c r="L40" s="7" t="n">
        <v>33273</v>
      </c>
      <c r="M40" s="7">
        <f>ROUND(L40/K40, 0)</f>
        <v/>
      </c>
      <c r="N40" s="4" t="inlineStr">
        <is>
          <t>2025-04-05</t>
        </is>
      </c>
      <c r="O40" s="6" t="n">
        <v>975</v>
      </c>
      <c r="P40" s="4" t="inlineStr">
        <is>
          <t>正常活躍</t>
        </is>
      </c>
    </row>
    <row r="41" ht="20" customHeight="1">
      <c r="A41" s="8" t="inlineStr">
        <is>
          <t>M20260038</t>
        </is>
      </c>
      <c r="B41" s="9" t="inlineStr">
        <is>
          <t>洪宗憲</t>
        </is>
      </c>
      <c r="C41" s="8" t="inlineStr">
        <is>
          <t>男</t>
        </is>
      </c>
      <c r="D41" s="10" t="n">
        <v>53</v>
      </c>
      <c r="E41" s="9" t="inlineStr">
        <is>
          <t>新竹市</t>
        </is>
      </c>
      <c r="F41" s="9" t="inlineStr">
        <is>
          <t>skrem53@hotmail.com</t>
        </is>
      </c>
      <c r="G41" s="8" t="inlineStr">
        <is>
          <t>0989-809-507</t>
        </is>
      </c>
      <c r="H41" s="8" t="inlineStr">
        <is>
          <t>銀卡會員</t>
        </is>
      </c>
      <c r="I41" s="8" t="inlineStr">
        <is>
          <t>2024-11-03</t>
        </is>
      </c>
      <c r="J41" s="8" t="inlineStr">
        <is>
          <t>親友推薦</t>
        </is>
      </c>
      <c r="K41" s="10" t="n">
        <v>11</v>
      </c>
      <c r="L41" s="11" t="n">
        <v>20452</v>
      </c>
      <c r="M41" s="11">
        <f>ROUND(L41/K41, 0)</f>
        <v/>
      </c>
      <c r="N41" s="8" t="inlineStr">
        <is>
          <t>2025-09-23</t>
        </is>
      </c>
      <c r="O41" s="10" t="n">
        <v>460</v>
      </c>
      <c r="P41" s="8" t="inlineStr">
        <is>
          <t>沈睡會員</t>
        </is>
      </c>
    </row>
    <row r="42" ht="20" customHeight="1">
      <c r="A42" s="4" t="inlineStr">
        <is>
          <t>M20260039</t>
        </is>
      </c>
      <c r="B42" s="5" t="inlineStr">
        <is>
          <t>廖雅婷</t>
        </is>
      </c>
      <c r="C42" s="4" t="inlineStr">
        <is>
          <t>女</t>
        </is>
      </c>
      <c r="D42" s="6" t="n">
        <v>59</v>
      </c>
      <c r="E42" s="5" t="inlineStr">
        <is>
          <t>台北市</t>
        </is>
      </c>
      <c r="F42" s="5" t="inlineStr">
        <is>
          <t>ztlcqwl13@hotmail.com</t>
        </is>
      </c>
      <c r="G42" s="4" t="inlineStr">
        <is>
          <t>0915-432-915</t>
        </is>
      </c>
      <c r="H42" s="4" t="inlineStr">
        <is>
          <t>一般會員</t>
        </is>
      </c>
      <c r="I42" s="4" t="inlineStr">
        <is>
          <t>2025-01-04</t>
        </is>
      </c>
      <c r="J42" s="4" t="inlineStr">
        <is>
          <t>FB廣告</t>
        </is>
      </c>
      <c r="K42" s="6" t="n">
        <v>4</v>
      </c>
      <c r="L42" s="7" t="n">
        <v>1992</v>
      </c>
      <c r="M42" s="7">
        <f>ROUND(L42/K42, 0)</f>
        <v/>
      </c>
      <c r="N42" s="4" t="inlineStr">
        <is>
          <t>2025-09-11</t>
        </is>
      </c>
      <c r="O42" s="6" t="n">
        <v>41</v>
      </c>
      <c r="P42" s="4" t="inlineStr">
        <is>
          <t>正常活躍</t>
        </is>
      </c>
    </row>
    <row r="43" ht="20" customHeight="1">
      <c r="A43" s="8" t="inlineStr">
        <is>
          <t>M20260040</t>
        </is>
      </c>
      <c r="B43" s="9" t="inlineStr">
        <is>
          <t>王家豪</t>
        </is>
      </c>
      <c r="C43" s="8" t="inlineStr">
        <is>
          <t>男</t>
        </is>
      </c>
      <c r="D43" s="10" t="n">
        <v>25</v>
      </c>
      <c r="E43" s="9" t="inlineStr">
        <is>
          <t>台中市</t>
        </is>
      </c>
      <c r="F43" s="9" t="inlineStr">
        <is>
          <t>qgxdlgga46@icloud.com</t>
        </is>
      </c>
      <c r="G43" s="8" t="inlineStr">
        <is>
          <t>0996-659-261</t>
        </is>
      </c>
      <c r="H43" s="8" t="inlineStr">
        <is>
          <t>一般會員</t>
        </is>
      </c>
      <c r="I43" s="8" t="inlineStr">
        <is>
          <t>2024-12-08</t>
        </is>
      </c>
      <c r="J43" s="8" t="inlineStr">
        <is>
          <t>KOL推薦</t>
        </is>
      </c>
      <c r="K43" s="10" t="n">
        <v>3</v>
      </c>
      <c r="L43" s="11" t="n">
        <v>6034</v>
      </c>
      <c r="M43" s="11">
        <f>ROUND(L43/K43, 0)</f>
        <v/>
      </c>
      <c r="N43" s="8" t="inlineStr">
        <is>
          <t>2026-02-15</t>
        </is>
      </c>
      <c r="O43" s="10" t="n">
        <v>143</v>
      </c>
      <c r="P43" s="8" t="inlineStr">
        <is>
          <t>正常活躍</t>
        </is>
      </c>
    </row>
    <row r="44" ht="20" customHeight="1">
      <c r="A44" s="4" t="inlineStr">
        <is>
          <t>M20260041</t>
        </is>
      </c>
      <c r="B44" s="5" t="inlineStr">
        <is>
          <t>吳佩君</t>
        </is>
      </c>
      <c r="C44" s="4" t="inlineStr">
        <is>
          <t>女</t>
        </is>
      </c>
      <c r="D44" s="6" t="n">
        <v>50</v>
      </c>
      <c r="E44" s="5" t="inlineStr">
        <is>
          <t>台北市</t>
        </is>
      </c>
      <c r="F44" s="5" t="inlineStr">
        <is>
          <t>oozhzrho87@gmail.com</t>
        </is>
      </c>
      <c r="G44" s="4" t="inlineStr">
        <is>
          <t>0973-952-393</t>
        </is>
      </c>
      <c r="H44" s="4" t="inlineStr">
        <is>
          <t>銀卡會員</t>
        </is>
      </c>
      <c r="I44" s="4" t="inlineStr">
        <is>
          <t>2024-04-16</t>
        </is>
      </c>
      <c r="J44" s="4" t="inlineStr">
        <is>
          <t>KOL推薦</t>
        </is>
      </c>
      <c r="K44" s="6" t="n">
        <v>8</v>
      </c>
      <c r="L44" s="7" t="n">
        <v>15176</v>
      </c>
      <c r="M44" s="7">
        <f>ROUND(L44/K44, 0)</f>
        <v/>
      </c>
      <c r="N44" s="4" t="inlineStr">
        <is>
          <t>2026-01-27</t>
        </is>
      </c>
      <c r="O44" s="6" t="n">
        <v>209</v>
      </c>
      <c r="P44" s="4" t="inlineStr">
        <is>
          <t>正常活躍</t>
        </is>
      </c>
    </row>
    <row r="45" ht="20" customHeight="1">
      <c r="A45" s="8" t="inlineStr">
        <is>
          <t>M20260042</t>
        </is>
      </c>
      <c r="B45" s="9" t="inlineStr">
        <is>
          <t>張耀廷</t>
        </is>
      </c>
      <c r="C45" s="8" t="inlineStr">
        <is>
          <t>男</t>
        </is>
      </c>
      <c r="D45" s="10" t="n">
        <v>60</v>
      </c>
      <c r="E45" s="9" t="inlineStr">
        <is>
          <t>台中市</t>
        </is>
      </c>
      <c r="F45" s="9" t="inlineStr">
        <is>
          <t>uajdxik26@yahoo.com.tw</t>
        </is>
      </c>
      <c r="G45" s="8" t="inlineStr">
        <is>
          <t>0979-997-474</t>
        </is>
      </c>
      <c r="H45" s="8" t="inlineStr">
        <is>
          <t>銀卡會員</t>
        </is>
      </c>
      <c r="I45" s="8" t="inlineStr">
        <is>
          <t>2024-07-12</t>
        </is>
      </c>
      <c r="J45" s="8" t="inlineStr">
        <is>
          <t>實體門市</t>
        </is>
      </c>
      <c r="K45" s="10" t="n">
        <v>7</v>
      </c>
      <c r="L45" s="11" t="n">
        <v>23789</v>
      </c>
      <c r="M45" s="11">
        <f>ROUND(L45/K45, 0)</f>
        <v/>
      </c>
      <c r="N45" s="8" t="inlineStr">
        <is>
          <t>2025-05-10</t>
        </is>
      </c>
      <c r="O45" s="10" t="n">
        <v>593</v>
      </c>
      <c r="P45" s="8" t="inlineStr">
        <is>
          <t>正常活躍</t>
        </is>
      </c>
    </row>
    <row r="46" ht="20" customHeight="1">
      <c r="A46" s="4" t="inlineStr">
        <is>
          <t>M20260043</t>
        </is>
      </c>
      <c r="B46" s="5" t="inlineStr">
        <is>
          <t>洪宗憲</t>
        </is>
      </c>
      <c r="C46" s="4" t="inlineStr">
        <is>
          <t>男</t>
        </is>
      </c>
      <c r="D46" s="6" t="n">
        <v>29</v>
      </c>
      <c r="E46" s="5" t="inlineStr">
        <is>
          <t>台南市</t>
        </is>
      </c>
      <c r="F46" s="5" t="inlineStr">
        <is>
          <t>wszzuj11@icloud.com</t>
        </is>
      </c>
      <c r="G46" s="4" t="inlineStr">
        <is>
          <t>0943-649-226</t>
        </is>
      </c>
      <c r="H46" s="4" t="inlineStr">
        <is>
          <t>一般會員</t>
        </is>
      </c>
      <c r="I46" s="4" t="inlineStr">
        <is>
          <t>2024-06-20</t>
        </is>
      </c>
      <c r="J46" s="4" t="inlineStr">
        <is>
          <t>KOL推薦</t>
        </is>
      </c>
      <c r="K46" s="6" t="n">
        <v>4</v>
      </c>
      <c r="L46" s="7" t="n">
        <v>7537</v>
      </c>
      <c r="M46" s="7">
        <f>ROUND(L46/K46, 0)</f>
        <v/>
      </c>
      <c r="N46" s="4" t="inlineStr">
        <is>
          <t>2026-04-04</t>
        </is>
      </c>
      <c r="O46" s="6" t="n">
        <v>217</v>
      </c>
      <c r="P46" s="4" t="inlineStr">
        <is>
          <t>正常活躍</t>
        </is>
      </c>
    </row>
    <row r="47" ht="20" customHeight="1">
      <c r="A47" s="8" t="inlineStr">
        <is>
          <t>M20260044</t>
        </is>
      </c>
      <c r="B47" s="9" t="inlineStr">
        <is>
          <t>曾冠宇</t>
        </is>
      </c>
      <c r="C47" s="8" t="inlineStr">
        <is>
          <t>男</t>
        </is>
      </c>
      <c r="D47" s="10" t="n">
        <v>59</v>
      </c>
      <c r="E47" s="9" t="inlineStr">
        <is>
          <t>高雄市</t>
        </is>
      </c>
      <c r="F47" s="9" t="inlineStr">
        <is>
          <t>xfbvxhk15@yahoo.com.tw</t>
        </is>
      </c>
      <c r="G47" s="8" t="inlineStr">
        <is>
          <t>0914-411-604</t>
        </is>
      </c>
      <c r="H47" s="8" t="inlineStr">
        <is>
          <t>一般會員</t>
        </is>
      </c>
      <c r="I47" s="8" t="inlineStr">
        <is>
          <t>2024-04-25</t>
        </is>
      </c>
      <c r="J47" s="8" t="inlineStr">
        <is>
          <t>KOL推薦</t>
        </is>
      </c>
      <c r="K47" s="10" t="n">
        <v>2</v>
      </c>
      <c r="L47" s="11" t="n">
        <v>3983</v>
      </c>
      <c r="M47" s="11">
        <f>ROUND(L47/K47, 0)</f>
        <v/>
      </c>
      <c r="N47" s="8" t="inlineStr">
        <is>
          <t>2025-08-02</t>
        </is>
      </c>
      <c r="O47" s="10" t="n">
        <v>69</v>
      </c>
      <c r="P47" s="8" t="inlineStr">
        <is>
          <t>沈睡會員</t>
        </is>
      </c>
    </row>
    <row r="48" ht="20" customHeight="1">
      <c r="A48" s="4" t="inlineStr">
        <is>
          <t>M20260045</t>
        </is>
      </c>
      <c r="B48" s="5" t="inlineStr">
        <is>
          <t>賴子晴</t>
        </is>
      </c>
      <c r="C48" s="4" t="inlineStr">
        <is>
          <t>女</t>
        </is>
      </c>
      <c r="D48" s="6" t="n">
        <v>29</v>
      </c>
      <c r="E48" s="5" t="inlineStr">
        <is>
          <t>高雄市</t>
        </is>
      </c>
      <c r="F48" s="5" t="inlineStr">
        <is>
          <t>vqyhr66@yahoo.com.tw</t>
        </is>
      </c>
      <c r="G48" s="4" t="inlineStr">
        <is>
          <t>0966-341-975</t>
        </is>
      </c>
      <c r="H48" s="4" t="inlineStr">
        <is>
          <t>一般會員</t>
        </is>
      </c>
      <c r="I48" s="4" t="inlineStr">
        <is>
          <t>2025-01-22</t>
        </is>
      </c>
      <c r="J48" s="4" t="inlineStr">
        <is>
          <t>KOL推薦</t>
        </is>
      </c>
      <c r="K48" s="6" t="n">
        <v>6</v>
      </c>
      <c r="L48" s="7" t="n">
        <v>3738</v>
      </c>
      <c r="M48" s="7">
        <f>ROUND(L48/K48, 0)</f>
        <v/>
      </c>
      <c r="N48" s="4" t="inlineStr">
        <is>
          <t>2025-03-25</t>
        </is>
      </c>
      <c r="O48" s="6" t="n">
        <v>67</v>
      </c>
      <c r="P48" s="4" t="inlineStr">
        <is>
          <t>正常活躍</t>
        </is>
      </c>
    </row>
    <row r="49" ht="20" customHeight="1">
      <c r="A49" s="8" t="inlineStr">
        <is>
          <t>M20260046</t>
        </is>
      </c>
      <c r="B49" s="9" t="inlineStr">
        <is>
          <t>洪宗憲</t>
        </is>
      </c>
      <c r="C49" s="8" t="inlineStr">
        <is>
          <t>男</t>
        </is>
      </c>
      <c r="D49" s="10" t="n">
        <v>62</v>
      </c>
      <c r="E49" s="9" t="inlineStr">
        <is>
          <t>台北市</t>
        </is>
      </c>
      <c r="F49" s="9" t="inlineStr">
        <is>
          <t>bizuf85@yahoo.com.tw</t>
        </is>
      </c>
      <c r="G49" s="8" t="inlineStr">
        <is>
          <t>0937-932-990</t>
        </is>
      </c>
      <c r="H49" s="8" t="inlineStr">
        <is>
          <t>一般會員</t>
        </is>
      </c>
      <c r="I49" s="8" t="inlineStr">
        <is>
          <t>2023-10-30</t>
        </is>
      </c>
      <c r="J49" s="8" t="inlineStr">
        <is>
          <t>KOL推薦</t>
        </is>
      </c>
      <c r="K49" s="10" t="n">
        <v>1</v>
      </c>
      <c r="L49" s="11" t="n">
        <v>3071</v>
      </c>
      <c r="M49" s="11">
        <f>ROUND(L49/K49, 0)</f>
        <v/>
      </c>
      <c r="N49" s="8" t="inlineStr">
        <is>
          <t>2026-03-27</t>
        </is>
      </c>
      <c r="O49" s="10" t="n">
        <v>91</v>
      </c>
      <c r="P49" s="8" t="inlineStr">
        <is>
          <t>凍結</t>
        </is>
      </c>
    </row>
    <row r="50" ht="20" customHeight="1">
      <c r="A50" s="4" t="inlineStr">
        <is>
          <t>M20260047</t>
        </is>
      </c>
      <c r="B50" s="5" t="inlineStr">
        <is>
          <t>王婷婷</t>
        </is>
      </c>
      <c r="C50" s="4" t="inlineStr">
        <is>
          <t>女</t>
        </is>
      </c>
      <c r="D50" s="6" t="n">
        <v>62</v>
      </c>
      <c r="E50" s="5" t="inlineStr">
        <is>
          <t>高雄市</t>
        </is>
      </c>
      <c r="F50" s="5" t="inlineStr">
        <is>
          <t>augieb77@icloud.com</t>
        </is>
      </c>
      <c r="G50" s="4" t="inlineStr">
        <is>
          <t>0924-863-165</t>
        </is>
      </c>
      <c r="H50" s="4" t="inlineStr">
        <is>
          <t>一般會員</t>
        </is>
      </c>
      <c r="I50" s="4" t="inlineStr">
        <is>
          <t>2025-01-11</t>
        </is>
      </c>
      <c r="J50" s="4" t="inlineStr">
        <is>
          <t>KOL推薦</t>
        </is>
      </c>
      <c r="K50" s="6" t="n">
        <v>5</v>
      </c>
      <c r="L50" s="7" t="n">
        <v>1693</v>
      </c>
      <c r="M50" s="7">
        <f>ROUND(L50/K50, 0)</f>
        <v/>
      </c>
      <c r="N50" s="4" t="inlineStr">
        <is>
          <t>2026-04-18</t>
        </is>
      </c>
      <c r="O50" s="6" t="n">
        <v>33</v>
      </c>
      <c r="P50" s="4" t="inlineStr">
        <is>
          <t>沈睡會員</t>
        </is>
      </c>
    </row>
    <row r="51" ht="20" customHeight="1">
      <c r="A51" s="8" t="inlineStr">
        <is>
          <t>M20260048</t>
        </is>
      </c>
      <c r="B51" s="9" t="inlineStr">
        <is>
          <t>邱俊宏</t>
        </is>
      </c>
      <c r="C51" s="8" t="inlineStr">
        <is>
          <t>男</t>
        </is>
      </c>
      <c r="D51" s="10" t="n">
        <v>49</v>
      </c>
      <c r="E51" s="9" t="inlineStr">
        <is>
          <t>台中市</t>
        </is>
      </c>
      <c r="F51" s="9" t="inlineStr">
        <is>
          <t>bmkrm19@icloud.com</t>
        </is>
      </c>
      <c r="G51" s="8" t="inlineStr">
        <is>
          <t>0920-429-722</t>
        </is>
      </c>
      <c r="H51" s="8" t="inlineStr">
        <is>
          <t>一般會員</t>
        </is>
      </c>
      <c r="I51" s="8" t="inlineStr">
        <is>
          <t>2023-09-16</t>
        </is>
      </c>
      <c r="J51" s="8" t="inlineStr">
        <is>
          <t>FB廣告</t>
        </is>
      </c>
      <c r="K51" s="10" t="n">
        <v>5</v>
      </c>
      <c r="L51" s="11" t="n">
        <v>5986</v>
      </c>
      <c r="M51" s="11">
        <f>ROUND(L51/K51, 0)</f>
        <v/>
      </c>
      <c r="N51" s="8" t="inlineStr">
        <is>
          <t>2025-07-12</t>
        </is>
      </c>
      <c r="O51" s="10" t="n">
        <v>105</v>
      </c>
      <c r="P51" s="8" t="inlineStr">
        <is>
          <t>正常活躍</t>
        </is>
      </c>
    </row>
    <row r="52" ht="20" customHeight="1">
      <c r="A52" s="4" t="inlineStr">
        <is>
          <t>M20260049</t>
        </is>
      </c>
      <c r="B52" s="5" t="inlineStr">
        <is>
          <t>洪雅筑</t>
        </is>
      </c>
      <c r="C52" s="4" t="inlineStr">
        <is>
          <t>女</t>
        </is>
      </c>
      <c r="D52" s="6" t="n">
        <v>58</v>
      </c>
      <c r="E52" s="5" t="inlineStr">
        <is>
          <t>新北市</t>
        </is>
      </c>
      <c r="F52" s="5" t="inlineStr">
        <is>
          <t>wqtsf39@icloud.com</t>
        </is>
      </c>
      <c r="G52" s="4" t="inlineStr">
        <is>
          <t>0962-447-947</t>
        </is>
      </c>
      <c r="H52" s="4" t="inlineStr">
        <is>
          <t>一般會員</t>
        </is>
      </c>
      <c r="I52" s="4" t="inlineStr">
        <is>
          <t>2025-05-01</t>
        </is>
      </c>
      <c r="J52" s="4" t="inlineStr">
        <is>
          <t>親友推薦</t>
        </is>
      </c>
      <c r="K52" s="6" t="n">
        <v>1</v>
      </c>
      <c r="L52" s="7" t="n">
        <v>3360</v>
      </c>
      <c r="M52" s="7">
        <f>ROUND(L52/K52, 0)</f>
        <v/>
      </c>
      <c r="N52" s="4" t="inlineStr">
        <is>
          <t>2025-12-05</t>
        </is>
      </c>
      <c r="O52" s="6" t="n">
        <v>54</v>
      </c>
      <c r="P52" s="4" t="inlineStr">
        <is>
          <t>正常活躍</t>
        </is>
      </c>
    </row>
    <row r="53" ht="20" customHeight="1">
      <c r="A53" s="8" t="inlineStr">
        <is>
          <t>M20260050</t>
        </is>
      </c>
      <c r="B53" s="9" t="inlineStr">
        <is>
          <t>曾宗憲</t>
        </is>
      </c>
      <c r="C53" s="8" t="inlineStr">
        <is>
          <t>男</t>
        </is>
      </c>
      <c r="D53" s="10" t="n">
        <v>25</v>
      </c>
      <c r="E53" s="9" t="inlineStr">
        <is>
          <t>高雄市</t>
        </is>
      </c>
      <c r="F53" s="9" t="inlineStr">
        <is>
          <t>ltjdb95@hotmail.com</t>
        </is>
      </c>
      <c r="G53" s="8" t="inlineStr">
        <is>
          <t>0925-520-462</t>
        </is>
      </c>
      <c r="H53" s="8" t="inlineStr">
        <is>
          <t>金卡會員</t>
        </is>
      </c>
      <c r="I53" s="8" t="inlineStr">
        <is>
          <t>2025-05-16</t>
        </is>
      </c>
      <c r="J53" s="8" t="inlineStr">
        <is>
          <t>親友推薦</t>
        </is>
      </c>
      <c r="K53" s="10" t="n">
        <v>8</v>
      </c>
      <c r="L53" s="11" t="n">
        <v>43850</v>
      </c>
      <c r="M53" s="11">
        <f>ROUND(L53/K53, 0)</f>
        <v/>
      </c>
      <c r="N53" s="8" t="inlineStr">
        <is>
          <t>2026-03-19</t>
        </is>
      </c>
      <c r="O53" s="10" t="n">
        <v>712</v>
      </c>
      <c r="P53" s="8" t="inlineStr">
        <is>
          <t>正常活躍</t>
        </is>
      </c>
    </row>
    <row r="54" ht="20" customHeight="1">
      <c r="A54" s="4" t="inlineStr">
        <is>
          <t>M20260051</t>
        </is>
      </c>
      <c r="B54" s="5" t="inlineStr">
        <is>
          <t>李哲瑋</t>
        </is>
      </c>
      <c r="C54" s="4" t="inlineStr">
        <is>
          <t>男</t>
        </is>
      </c>
      <c r="D54" s="6" t="n">
        <v>50</v>
      </c>
      <c r="E54" s="5" t="inlineStr">
        <is>
          <t>台北市</t>
        </is>
      </c>
      <c r="F54" s="5" t="inlineStr">
        <is>
          <t>jochf81@icloud.com</t>
        </is>
      </c>
      <c r="G54" s="4" t="inlineStr">
        <is>
          <t>0989-728-791</t>
        </is>
      </c>
      <c r="H54" s="4" t="inlineStr">
        <is>
          <t>銀卡會員</t>
        </is>
      </c>
      <c r="I54" s="4" t="inlineStr">
        <is>
          <t>2023-02-23</t>
        </is>
      </c>
      <c r="J54" s="4" t="inlineStr">
        <is>
          <t>KOL推薦</t>
        </is>
      </c>
      <c r="K54" s="6" t="n">
        <v>7</v>
      </c>
      <c r="L54" s="7" t="n">
        <v>8948</v>
      </c>
      <c r="M54" s="7">
        <f>ROUND(L54/K54, 0)</f>
        <v/>
      </c>
      <c r="N54" s="4" t="inlineStr">
        <is>
          <t>2024-02-27</t>
        </is>
      </c>
      <c r="O54" s="6" t="n">
        <v>138</v>
      </c>
      <c r="P54" s="4" t="inlineStr">
        <is>
          <t>正常活躍</t>
        </is>
      </c>
    </row>
    <row r="55" ht="20" customHeight="1">
      <c r="A55" s="8" t="inlineStr">
        <is>
          <t>M20260052</t>
        </is>
      </c>
      <c r="B55" s="9" t="inlineStr">
        <is>
          <t>鄭雅婷</t>
        </is>
      </c>
      <c r="C55" s="8" t="inlineStr">
        <is>
          <t>女</t>
        </is>
      </c>
      <c r="D55" s="10" t="n">
        <v>31</v>
      </c>
      <c r="E55" s="9" t="inlineStr">
        <is>
          <t>高雄市</t>
        </is>
      </c>
      <c r="F55" s="9" t="inlineStr">
        <is>
          <t>btzcnjle51@hotmail.com</t>
        </is>
      </c>
      <c r="G55" s="8" t="inlineStr">
        <is>
          <t>0982-710-186</t>
        </is>
      </c>
      <c r="H55" s="8" t="inlineStr">
        <is>
          <t>金卡會員</t>
        </is>
      </c>
      <c r="I55" s="8" t="inlineStr">
        <is>
          <t>2023-11-15</t>
        </is>
      </c>
      <c r="J55" s="8" t="inlineStr">
        <is>
          <t>實體門市</t>
        </is>
      </c>
      <c r="K55" s="10" t="n">
        <v>20</v>
      </c>
      <c r="L55" s="11" t="n">
        <v>28261</v>
      </c>
      <c r="M55" s="11">
        <f>ROUND(L55/K55, 0)</f>
        <v/>
      </c>
      <c r="N55" s="8" t="inlineStr">
        <is>
          <t>2025-10-05</t>
        </is>
      </c>
      <c r="O55" s="10" t="n">
        <v>328</v>
      </c>
      <c r="P55" s="8" t="inlineStr">
        <is>
          <t>正常活躍</t>
        </is>
      </c>
    </row>
    <row r="56" ht="20" customHeight="1">
      <c r="A56" s="4" t="inlineStr">
        <is>
          <t>M20260053</t>
        </is>
      </c>
      <c r="B56" s="5" t="inlineStr">
        <is>
          <t>曾鈺婷</t>
        </is>
      </c>
      <c r="C56" s="4" t="inlineStr">
        <is>
          <t>女</t>
        </is>
      </c>
      <c r="D56" s="6" t="n">
        <v>48</v>
      </c>
      <c r="E56" s="5" t="inlineStr">
        <is>
          <t>新北市</t>
        </is>
      </c>
      <c r="F56" s="5" t="inlineStr">
        <is>
          <t>tclhrm15@hotmail.com</t>
        </is>
      </c>
      <c r="G56" s="4" t="inlineStr">
        <is>
          <t>0938-504-713</t>
        </is>
      </c>
      <c r="H56" s="4" t="inlineStr">
        <is>
          <t>一般會員</t>
        </is>
      </c>
      <c r="I56" s="4" t="inlineStr">
        <is>
          <t>2024-02-23</t>
        </is>
      </c>
      <c r="J56" s="4" t="inlineStr">
        <is>
          <t>FB廣告</t>
        </is>
      </c>
      <c r="K56" s="6" t="n">
        <v>2</v>
      </c>
      <c r="L56" s="7" t="n">
        <v>7086</v>
      </c>
      <c r="M56" s="7">
        <f>ROUND(L56/K56, 0)</f>
        <v/>
      </c>
      <c r="N56" s="4" t="inlineStr">
        <is>
          <t>2024-07-12</t>
        </is>
      </c>
      <c r="O56" s="6" t="n">
        <v>179</v>
      </c>
      <c r="P56" s="4" t="inlineStr">
        <is>
          <t>正常活躍</t>
        </is>
      </c>
    </row>
    <row r="57" ht="20" customHeight="1">
      <c r="A57" s="8" t="inlineStr">
        <is>
          <t>M20260054</t>
        </is>
      </c>
      <c r="B57" s="9" t="inlineStr">
        <is>
          <t>陳志偉</t>
        </is>
      </c>
      <c r="C57" s="8" t="inlineStr">
        <is>
          <t>男</t>
        </is>
      </c>
      <c r="D57" s="10" t="n">
        <v>47</v>
      </c>
      <c r="E57" s="9" t="inlineStr">
        <is>
          <t>台北市</t>
        </is>
      </c>
      <c r="F57" s="9" t="inlineStr">
        <is>
          <t>nforjktl19@icloud.com</t>
        </is>
      </c>
      <c r="G57" s="8" t="inlineStr">
        <is>
          <t>0950-689-539</t>
        </is>
      </c>
      <c r="H57" s="8" t="inlineStr">
        <is>
          <t>銀卡會員</t>
        </is>
      </c>
      <c r="I57" s="8" t="inlineStr">
        <is>
          <t>2025-05-05</t>
        </is>
      </c>
      <c r="J57" s="8" t="inlineStr">
        <is>
          <t>FB廣告</t>
        </is>
      </c>
      <c r="K57" s="10" t="n">
        <v>4</v>
      </c>
      <c r="L57" s="11" t="n">
        <v>21272</v>
      </c>
      <c r="M57" s="11">
        <f>ROUND(L57/K57, 0)</f>
        <v/>
      </c>
      <c r="N57" s="8" t="inlineStr">
        <is>
          <t>2025-05-15</t>
        </is>
      </c>
      <c r="O57" s="10" t="n">
        <v>623</v>
      </c>
      <c r="P57" s="8" t="inlineStr">
        <is>
          <t>正常活躍</t>
        </is>
      </c>
    </row>
    <row r="58" ht="20" customHeight="1">
      <c r="A58" s="4" t="inlineStr">
        <is>
          <t>M20260055</t>
        </is>
      </c>
      <c r="B58" s="5" t="inlineStr">
        <is>
          <t>鄭婷婷</t>
        </is>
      </c>
      <c r="C58" s="4" t="inlineStr">
        <is>
          <t>女</t>
        </is>
      </c>
      <c r="D58" s="6" t="n">
        <v>47</v>
      </c>
      <c r="E58" s="5" t="inlineStr">
        <is>
          <t>高雄市</t>
        </is>
      </c>
      <c r="F58" s="5" t="inlineStr">
        <is>
          <t>lkcwtf19@yahoo.com.tw</t>
        </is>
      </c>
      <c r="G58" s="4" t="inlineStr">
        <is>
          <t>0975-748-216</t>
        </is>
      </c>
      <c r="H58" s="4" t="inlineStr">
        <is>
          <t>銀卡會員</t>
        </is>
      </c>
      <c r="I58" s="4" t="inlineStr">
        <is>
          <t>2024-02-02</t>
        </is>
      </c>
      <c r="J58" s="4" t="inlineStr">
        <is>
          <t>FB廣告</t>
        </is>
      </c>
      <c r="K58" s="6" t="n">
        <v>8</v>
      </c>
      <c r="L58" s="7" t="n">
        <v>12839</v>
      </c>
      <c r="M58" s="7">
        <f>ROUND(L58/K58, 0)</f>
        <v/>
      </c>
      <c r="N58" s="4" t="inlineStr">
        <is>
          <t>2024-09-30</t>
        </is>
      </c>
      <c r="O58" s="6" t="n">
        <v>154</v>
      </c>
      <c r="P58" s="4" t="inlineStr">
        <is>
          <t>正常活躍</t>
        </is>
      </c>
    </row>
    <row r="59" ht="20" customHeight="1">
      <c r="A59" s="8" t="inlineStr">
        <is>
          <t>M20260056</t>
        </is>
      </c>
      <c r="B59" s="9" t="inlineStr">
        <is>
          <t>周家豪</t>
        </is>
      </c>
      <c r="C59" s="8" t="inlineStr">
        <is>
          <t>男</t>
        </is>
      </c>
      <c r="D59" s="10" t="n">
        <v>61</v>
      </c>
      <c r="E59" s="9" t="inlineStr">
        <is>
          <t>台北市</t>
        </is>
      </c>
      <c r="F59" s="9" t="inlineStr">
        <is>
          <t>moprwqzi29@hotmail.com</t>
        </is>
      </c>
      <c r="G59" s="8" t="inlineStr">
        <is>
          <t>0966-169-580</t>
        </is>
      </c>
      <c r="H59" s="8" t="inlineStr">
        <is>
          <t>一般會員</t>
        </is>
      </c>
      <c r="I59" s="8" t="inlineStr">
        <is>
          <t>2024-09-12</t>
        </is>
      </c>
      <c r="J59" s="8" t="inlineStr">
        <is>
          <t>FB廣告</t>
        </is>
      </c>
      <c r="K59" s="10" t="n">
        <v>5</v>
      </c>
      <c r="L59" s="11" t="n">
        <v>1260</v>
      </c>
      <c r="M59" s="11">
        <f>ROUND(L59/K59, 0)</f>
        <v/>
      </c>
      <c r="N59" s="8" t="inlineStr">
        <is>
          <t>2025-09-07</t>
        </is>
      </c>
      <c r="O59" s="10" t="n">
        <v>25</v>
      </c>
      <c r="P59" s="8" t="inlineStr">
        <is>
          <t>正常活躍</t>
        </is>
      </c>
    </row>
    <row r="60" ht="20" customHeight="1">
      <c r="A60" s="4" t="inlineStr">
        <is>
          <t>M20260057</t>
        </is>
      </c>
      <c r="B60" s="5" t="inlineStr">
        <is>
          <t>林雅婷</t>
        </is>
      </c>
      <c r="C60" s="4" t="inlineStr">
        <is>
          <t>女</t>
        </is>
      </c>
      <c r="D60" s="6" t="n">
        <v>43</v>
      </c>
      <c r="E60" s="5" t="inlineStr">
        <is>
          <t>高雄市</t>
        </is>
      </c>
      <c r="F60" s="5" t="inlineStr">
        <is>
          <t>qzcpj67@gmail.com</t>
        </is>
      </c>
      <c r="G60" s="4" t="inlineStr">
        <is>
          <t>0983-767-292</t>
        </is>
      </c>
      <c r="H60" s="4" t="inlineStr">
        <is>
          <t>一般會員</t>
        </is>
      </c>
      <c r="I60" s="4" t="inlineStr">
        <is>
          <t>2025-09-01</t>
        </is>
      </c>
      <c r="J60" s="4" t="inlineStr">
        <is>
          <t>KOL推薦</t>
        </is>
      </c>
      <c r="K60" s="6" t="n">
        <v>2</v>
      </c>
      <c r="L60" s="7" t="n">
        <v>1306</v>
      </c>
      <c r="M60" s="7">
        <f>ROUND(L60/K60, 0)</f>
        <v/>
      </c>
      <c r="N60" s="4" t="inlineStr">
        <is>
          <t>2026-04-19</t>
        </is>
      </c>
      <c r="O60" s="6" t="n">
        <v>15</v>
      </c>
      <c r="P60" s="4" t="inlineStr">
        <is>
          <t>沈睡會員</t>
        </is>
      </c>
    </row>
    <row r="61" ht="20" customHeight="1">
      <c r="A61" s="8" t="inlineStr">
        <is>
          <t>M20260058</t>
        </is>
      </c>
      <c r="B61" s="9" t="inlineStr">
        <is>
          <t>黃雅筑</t>
        </is>
      </c>
      <c r="C61" s="8" t="inlineStr">
        <is>
          <t>女</t>
        </is>
      </c>
      <c r="D61" s="10" t="n">
        <v>61</v>
      </c>
      <c r="E61" s="9" t="inlineStr">
        <is>
          <t>台北市</t>
        </is>
      </c>
      <c r="F61" s="9" t="inlineStr">
        <is>
          <t>sznpjx62@icloud.com</t>
        </is>
      </c>
      <c r="G61" s="8" t="inlineStr">
        <is>
          <t>0953-795-712</t>
        </is>
      </c>
      <c r="H61" s="8" t="inlineStr">
        <is>
          <t>一般會員</t>
        </is>
      </c>
      <c r="I61" s="8" t="inlineStr">
        <is>
          <t>2026-07-16</t>
        </is>
      </c>
      <c r="J61" s="8" t="inlineStr">
        <is>
          <t>親友推薦</t>
        </is>
      </c>
      <c r="K61" s="10" t="n">
        <v>3</v>
      </c>
      <c r="L61" s="11" t="n">
        <v>1339</v>
      </c>
      <c r="M61" s="11">
        <f>ROUND(L61/K61, 0)</f>
        <v/>
      </c>
      <c r="N61" s="8" t="inlineStr">
        <is>
          <t>2026-07-26</t>
        </is>
      </c>
      <c r="O61" s="10" t="n">
        <v>15</v>
      </c>
      <c r="P61" s="8" t="inlineStr">
        <is>
          <t>正常活躍</t>
        </is>
      </c>
    </row>
    <row r="62" ht="20" customHeight="1">
      <c r="A62" s="4" t="inlineStr">
        <is>
          <t>M20260059</t>
        </is>
      </c>
      <c r="B62" s="5" t="inlineStr">
        <is>
          <t>蔡子晴</t>
        </is>
      </c>
      <c r="C62" s="4" t="inlineStr">
        <is>
          <t>女</t>
        </is>
      </c>
      <c r="D62" s="6" t="n">
        <v>62</v>
      </c>
      <c r="E62" s="5" t="inlineStr">
        <is>
          <t>彰化縣</t>
        </is>
      </c>
      <c r="F62" s="5" t="inlineStr">
        <is>
          <t>ipdjzs26@icloud.com</t>
        </is>
      </c>
      <c r="G62" s="4" t="inlineStr">
        <is>
          <t>0986-825-186</t>
        </is>
      </c>
      <c r="H62" s="4" t="inlineStr">
        <is>
          <t>一般會員</t>
        </is>
      </c>
      <c r="I62" s="4" t="inlineStr">
        <is>
          <t>2025-02-10</t>
        </is>
      </c>
      <c r="J62" s="4" t="inlineStr">
        <is>
          <t>親友推薦</t>
        </is>
      </c>
      <c r="K62" s="6" t="n">
        <v>3</v>
      </c>
      <c r="L62" s="7" t="n">
        <v>7461</v>
      </c>
      <c r="M62" s="7">
        <f>ROUND(L62/K62, 0)</f>
        <v/>
      </c>
      <c r="N62" s="4" t="inlineStr">
        <is>
          <t>2025-06-20</t>
        </is>
      </c>
      <c r="O62" s="6" t="n">
        <v>174</v>
      </c>
      <c r="P62" s="4" t="inlineStr">
        <is>
          <t>沈睡會員</t>
        </is>
      </c>
    </row>
    <row r="63" ht="20" customHeight="1">
      <c r="A63" s="8" t="inlineStr">
        <is>
          <t>M20260060</t>
        </is>
      </c>
      <c r="B63" s="9" t="inlineStr">
        <is>
          <t>郭承恩</t>
        </is>
      </c>
      <c r="C63" s="8" t="inlineStr">
        <is>
          <t>男</t>
        </is>
      </c>
      <c r="D63" s="10" t="n">
        <v>43</v>
      </c>
      <c r="E63" s="9" t="inlineStr">
        <is>
          <t>台北市</t>
        </is>
      </c>
      <c r="F63" s="9" t="inlineStr">
        <is>
          <t>efymfdc74@gmail.com</t>
        </is>
      </c>
      <c r="G63" s="8" t="inlineStr">
        <is>
          <t>0979-955-856</t>
        </is>
      </c>
      <c r="H63" s="8" t="inlineStr">
        <is>
          <t>金卡會員</t>
        </is>
      </c>
      <c r="I63" s="8" t="inlineStr">
        <is>
          <t>2023-03-19</t>
        </is>
      </c>
      <c r="J63" s="8" t="inlineStr">
        <is>
          <t>親友推薦</t>
        </is>
      </c>
      <c r="K63" s="10" t="n">
        <v>13</v>
      </c>
      <c r="L63" s="11" t="n">
        <v>33588</v>
      </c>
      <c r="M63" s="11">
        <f>ROUND(L63/K63, 0)</f>
        <v/>
      </c>
      <c r="N63" s="8" t="inlineStr">
        <is>
          <t>2026-07-24</t>
        </is>
      </c>
      <c r="O63" s="10" t="n">
        <v>588</v>
      </c>
      <c r="P63" s="8" t="inlineStr">
        <is>
          <t>正常活躍</t>
        </is>
      </c>
    </row>
    <row r="64" ht="20" customHeight="1">
      <c r="A64" s="4" t="inlineStr">
        <is>
          <t>M20260061</t>
        </is>
      </c>
      <c r="B64" s="5" t="inlineStr">
        <is>
          <t>洪冠宇</t>
        </is>
      </c>
      <c r="C64" s="4" t="inlineStr">
        <is>
          <t>男</t>
        </is>
      </c>
      <c r="D64" s="6" t="n">
        <v>46</v>
      </c>
      <c r="E64" s="5" t="inlineStr">
        <is>
          <t>新北市</t>
        </is>
      </c>
      <c r="F64" s="5" t="inlineStr">
        <is>
          <t>zptugg34@icloud.com</t>
        </is>
      </c>
      <c r="G64" s="4" t="inlineStr">
        <is>
          <t>0957-794-684</t>
        </is>
      </c>
      <c r="H64" s="4" t="inlineStr">
        <is>
          <t>黑卡尊榮</t>
        </is>
      </c>
      <c r="I64" s="4" t="inlineStr">
        <is>
          <t>2025-08-03</t>
        </is>
      </c>
      <c r="J64" s="4" t="inlineStr">
        <is>
          <t>FB廣告</t>
        </is>
      </c>
      <c r="K64" s="6" t="n">
        <v>39</v>
      </c>
      <c r="L64" s="7" t="n">
        <v>115052</v>
      </c>
      <c r="M64" s="7">
        <f>ROUND(L64/K64, 0)</f>
        <v/>
      </c>
      <c r="N64" s="4" t="inlineStr">
        <is>
          <t>2026-04-17</t>
        </is>
      </c>
      <c r="O64" s="6" t="n">
        <v>2364</v>
      </c>
      <c r="P64" s="4" t="inlineStr">
        <is>
          <t>沈睡會員</t>
        </is>
      </c>
    </row>
    <row r="65" ht="20" customHeight="1">
      <c r="A65" s="8" t="inlineStr">
        <is>
          <t>M20260062</t>
        </is>
      </c>
      <c r="B65" s="9" t="inlineStr">
        <is>
          <t>周家豪</t>
        </is>
      </c>
      <c r="C65" s="8" t="inlineStr">
        <is>
          <t>男</t>
        </is>
      </c>
      <c r="D65" s="10" t="n">
        <v>36</v>
      </c>
      <c r="E65" s="9" t="inlineStr">
        <is>
          <t>台北市</t>
        </is>
      </c>
      <c r="F65" s="9" t="inlineStr">
        <is>
          <t>wocvwhth65@yahoo.com.tw</t>
        </is>
      </c>
      <c r="G65" s="8" t="inlineStr">
        <is>
          <t>0921-327-936</t>
        </is>
      </c>
      <c r="H65" s="8" t="inlineStr">
        <is>
          <t>一般會員</t>
        </is>
      </c>
      <c r="I65" s="8" t="inlineStr">
        <is>
          <t>2024-12-16</t>
        </is>
      </c>
      <c r="J65" s="8" t="inlineStr">
        <is>
          <t>官網註冊</t>
        </is>
      </c>
      <c r="K65" s="10" t="n">
        <v>4</v>
      </c>
      <c r="L65" s="11" t="n">
        <v>1236</v>
      </c>
      <c r="M65" s="11">
        <f>ROUND(L65/K65, 0)</f>
        <v/>
      </c>
      <c r="N65" s="8" t="inlineStr">
        <is>
          <t>2026-01-25</t>
        </is>
      </c>
      <c r="O65" s="10" t="n">
        <v>24</v>
      </c>
      <c r="P65" s="8" t="inlineStr">
        <is>
          <t>正常活躍</t>
        </is>
      </c>
    </row>
    <row r="66" ht="20" customHeight="1">
      <c r="A66" s="4" t="inlineStr">
        <is>
          <t>M20260063</t>
        </is>
      </c>
      <c r="B66" s="5" t="inlineStr">
        <is>
          <t>鄭柏翰</t>
        </is>
      </c>
      <c r="C66" s="4" t="inlineStr">
        <is>
          <t>男</t>
        </is>
      </c>
      <c r="D66" s="6" t="n">
        <v>21</v>
      </c>
      <c r="E66" s="5" t="inlineStr">
        <is>
          <t>新北市</t>
        </is>
      </c>
      <c r="F66" s="5" t="inlineStr">
        <is>
          <t>vqudh99@icloud.com</t>
        </is>
      </c>
      <c r="G66" s="4" t="inlineStr">
        <is>
          <t>0927-877-822</t>
        </is>
      </c>
      <c r="H66" s="4" t="inlineStr">
        <is>
          <t>一般會員</t>
        </is>
      </c>
      <c r="I66" s="4" t="inlineStr">
        <is>
          <t>2026-06-14</t>
        </is>
      </c>
      <c r="J66" s="4" t="inlineStr">
        <is>
          <t>官網註冊</t>
        </is>
      </c>
      <c r="K66" s="6" t="n">
        <v>1</v>
      </c>
      <c r="L66" s="7" t="n">
        <v>955</v>
      </c>
      <c r="M66" s="7">
        <f>ROUND(L66/K66, 0)</f>
        <v/>
      </c>
      <c r="N66" s="4" t="inlineStr">
        <is>
          <t>2026-06-30</t>
        </is>
      </c>
      <c r="O66" s="6" t="n">
        <v>13</v>
      </c>
      <c r="P66" s="4" t="inlineStr">
        <is>
          <t>正常活躍</t>
        </is>
      </c>
    </row>
    <row r="67" ht="20" customHeight="1">
      <c r="A67" s="8" t="inlineStr">
        <is>
          <t>M20260064</t>
        </is>
      </c>
      <c r="B67" s="9" t="inlineStr">
        <is>
          <t>張詩婷</t>
        </is>
      </c>
      <c r="C67" s="8" t="inlineStr">
        <is>
          <t>女</t>
        </is>
      </c>
      <c r="D67" s="10" t="n">
        <v>38</v>
      </c>
      <c r="E67" s="9" t="inlineStr">
        <is>
          <t>台北市</t>
        </is>
      </c>
      <c r="F67" s="9" t="inlineStr">
        <is>
          <t>bkulc86@icloud.com</t>
        </is>
      </c>
      <c r="G67" s="8" t="inlineStr">
        <is>
          <t>0978-116-747</t>
        </is>
      </c>
      <c r="H67" s="8" t="inlineStr">
        <is>
          <t>銀卡會員</t>
        </is>
      </c>
      <c r="I67" s="8" t="inlineStr">
        <is>
          <t>2024-05-10</t>
        </is>
      </c>
      <c r="J67" s="8" t="inlineStr">
        <is>
          <t>親友推薦</t>
        </is>
      </c>
      <c r="K67" s="10" t="n">
        <v>5</v>
      </c>
      <c r="L67" s="11" t="n">
        <v>17544</v>
      </c>
      <c r="M67" s="11">
        <f>ROUND(L67/K67, 0)</f>
        <v/>
      </c>
      <c r="N67" s="8" t="inlineStr">
        <is>
          <t>2025-07-23</t>
        </is>
      </c>
      <c r="O67" s="10" t="n">
        <v>175</v>
      </c>
      <c r="P67" s="8" t="inlineStr">
        <is>
          <t>正常活躍</t>
        </is>
      </c>
    </row>
    <row r="68" ht="20" customHeight="1">
      <c r="A68" s="4" t="inlineStr">
        <is>
          <t>M20260065</t>
        </is>
      </c>
      <c r="B68" s="5" t="inlineStr">
        <is>
          <t>王詠晴</t>
        </is>
      </c>
      <c r="C68" s="4" t="inlineStr">
        <is>
          <t>女</t>
        </is>
      </c>
      <c r="D68" s="6" t="n">
        <v>62</v>
      </c>
      <c r="E68" s="5" t="inlineStr">
        <is>
          <t>台北市</t>
        </is>
      </c>
      <c r="F68" s="5" t="inlineStr">
        <is>
          <t>bnnzokm57@icloud.com</t>
        </is>
      </c>
      <c r="G68" s="4" t="inlineStr">
        <is>
          <t>0942-865-116</t>
        </is>
      </c>
      <c r="H68" s="4" t="inlineStr">
        <is>
          <t>一般會員</t>
        </is>
      </c>
      <c r="I68" s="4" t="inlineStr">
        <is>
          <t>2023-05-19</t>
        </is>
      </c>
      <c r="J68" s="4" t="inlineStr">
        <is>
          <t>FB廣告</t>
        </is>
      </c>
      <c r="K68" s="6" t="n">
        <v>2</v>
      </c>
      <c r="L68" s="7" t="n">
        <v>6804</v>
      </c>
      <c r="M68" s="7">
        <f>ROUND(L68/K68, 0)</f>
        <v/>
      </c>
      <c r="N68" s="4" t="inlineStr">
        <is>
          <t>2023-12-17</t>
        </is>
      </c>
      <c r="O68" s="6" t="n">
        <v>173</v>
      </c>
      <c r="P68" s="4" t="inlineStr">
        <is>
          <t>正常活躍</t>
        </is>
      </c>
    </row>
    <row r="69" ht="20" customHeight="1">
      <c r="A69" s="8" t="inlineStr">
        <is>
          <t>M20260066</t>
        </is>
      </c>
      <c r="B69" s="9" t="inlineStr">
        <is>
          <t>李雅婷</t>
        </is>
      </c>
      <c r="C69" s="8" t="inlineStr">
        <is>
          <t>女</t>
        </is>
      </c>
      <c r="D69" s="10" t="n">
        <v>42</v>
      </c>
      <c r="E69" s="9" t="inlineStr">
        <is>
          <t>桃園市</t>
        </is>
      </c>
      <c r="F69" s="9" t="inlineStr">
        <is>
          <t>vrzmed14@icloud.com</t>
        </is>
      </c>
      <c r="G69" s="8" t="inlineStr">
        <is>
          <t>0947-306-144</t>
        </is>
      </c>
      <c r="H69" s="8" t="inlineStr">
        <is>
          <t>金卡會員</t>
        </is>
      </c>
      <c r="I69" s="8" t="inlineStr">
        <is>
          <t>2023-03-27</t>
        </is>
      </c>
      <c r="J69" s="8" t="inlineStr">
        <is>
          <t>FB廣告</t>
        </is>
      </c>
      <c r="K69" s="10" t="n">
        <v>22</v>
      </c>
      <c r="L69" s="11" t="n">
        <v>45321</v>
      </c>
      <c r="M69" s="11">
        <f>ROUND(L69/K69, 0)</f>
        <v/>
      </c>
      <c r="N69" s="8" t="inlineStr">
        <is>
          <t>2026-02-14</t>
        </is>
      </c>
      <c r="O69" s="10" t="n">
        <v>814</v>
      </c>
      <c r="P69" s="8" t="inlineStr">
        <is>
          <t>正常活躍</t>
        </is>
      </c>
    </row>
    <row r="70" ht="20" customHeight="1">
      <c r="A70" s="4" t="inlineStr">
        <is>
          <t>M20260067</t>
        </is>
      </c>
      <c r="B70" s="5" t="inlineStr">
        <is>
          <t>蔡雅婷</t>
        </is>
      </c>
      <c r="C70" s="4" t="inlineStr">
        <is>
          <t>女</t>
        </is>
      </c>
      <c r="D70" s="6" t="n">
        <v>61</v>
      </c>
      <c r="E70" s="5" t="inlineStr">
        <is>
          <t>台北市</t>
        </is>
      </c>
      <c r="F70" s="5" t="inlineStr">
        <is>
          <t>wbrhulk59@icloud.com</t>
        </is>
      </c>
      <c r="G70" s="4" t="inlineStr">
        <is>
          <t>0953-291-608</t>
        </is>
      </c>
      <c r="H70" s="4" t="inlineStr">
        <is>
          <t>銀卡會員</t>
        </is>
      </c>
      <c r="I70" s="4" t="inlineStr">
        <is>
          <t>2025-01-22</t>
        </is>
      </c>
      <c r="J70" s="4" t="inlineStr">
        <is>
          <t>KOL推薦</t>
        </is>
      </c>
      <c r="K70" s="6" t="n">
        <v>7</v>
      </c>
      <c r="L70" s="7" t="n">
        <v>10707</v>
      </c>
      <c r="M70" s="7">
        <f>ROUND(L70/K70, 0)</f>
        <v/>
      </c>
      <c r="N70" s="4" t="inlineStr">
        <is>
          <t>2026-04-01</t>
        </is>
      </c>
      <c r="O70" s="6" t="n">
        <v>123</v>
      </c>
      <c r="P70" s="4" t="inlineStr">
        <is>
          <t>正常活躍</t>
        </is>
      </c>
    </row>
    <row r="71" ht="20" customHeight="1">
      <c r="A71" s="8" t="inlineStr">
        <is>
          <t>M20260068</t>
        </is>
      </c>
      <c r="B71" s="9" t="inlineStr">
        <is>
          <t>廖俊宏</t>
        </is>
      </c>
      <c r="C71" s="8" t="inlineStr">
        <is>
          <t>男</t>
        </is>
      </c>
      <c r="D71" s="10" t="n">
        <v>40</v>
      </c>
      <c r="E71" s="9" t="inlineStr">
        <is>
          <t>台北市</t>
        </is>
      </c>
      <c r="F71" s="9" t="inlineStr">
        <is>
          <t>rhplrjb88@hotmail.com</t>
        </is>
      </c>
      <c r="G71" s="8" t="inlineStr">
        <is>
          <t>0965-381-754</t>
        </is>
      </c>
      <c r="H71" s="8" t="inlineStr">
        <is>
          <t>黑卡尊榮</t>
        </is>
      </c>
      <c r="I71" s="8" t="inlineStr">
        <is>
          <t>2023-04-28</t>
        </is>
      </c>
      <c r="J71" s="8" t="inlineStr">
        <is>
          <t>官網註冊</t>
        </is>
      </c>
      <c r="K71" s="10" t="n">
        <v>36</v>
      </c>
      <c r="L71" s="11" t="n">
        <v>148560</v>
      </c>
      <c r="M71" s="11">
        <f>ROUND(L71/K71, 0)</f>
        <v/>
      </c>
      <c r="N71" s="8" t="inlineStr">
        <is>
          <t>2025-08-06</t>
        </is>
      </c>
      <c r="O71" s="10" t="n">
        <v>2565</v>
      </c>
      <c r="P71" s="8" t="inlineStr">
        <is>
          <t>正常活躍</t>
        </is>
      </c>
    </row>
    <row r="72" ht="20" customHeight="1">
      <c r="A72" s="4" t="inlineStr">
        <is>
          <t>M20260069</t>
        </is>
      </c>
      <c r="B72" s="5" t="inlineStr">
        <is>
          <t>陳家豪</t>
        </is>
      </c>
      <c r="C72" s="4" t="inlineStr">
        <is>
          <t>男</t>
        </is>
      </c>
      <c r="D72" s="6" t="n">
        <v>58</v>
      </c>
      <c r="E72" s="5" t="inlineStr">
        <is>
          <t>台中市</t>
        </is>
      </c>
      <c r="F72" s="5" t="inlineStr">
        <is>
          <t>abujjopr57@hotmail.com</t>
        </is>
      </c>
      <c r="G72" s="4" t="inlineStr">
        <is>
          <t>0966-881-178</t>
        </is>
      </c>
      <c r="H72" s="4" t="inlineStr">
        <is>
          <t>銀卡會員</t>
        </is>
      </c>
      <c r="I72" s="4" t="inlineStr">
        <is>
          <t>2025-12-20</t>
        </is>
      </c>
      <c r="J72" s="4" t="inlineStr">
        <is>
          <t>FB廣告</t>
        </is>
      </c>
      <c r="K72" s="6" t="n">
        <v>9</v>
      </c>
      <c r="L72" s="7" t="n">
        <v>18301</v>
      </c>
      <c r="M72" s="7">
        <f>ROUND(L72/K72, 0)</f>
        <v/>
      </c>
      <c r="N72" s="4" t="inlineStr">
        <is>
          <t>2026-06-04</t>
        </is>
      </c>
      <c r="O72" s="6" t="n">
        <v>285</v>
      </c>
      <c r="P72" s="4" t="inlineStr">
        <is>
          <t>沈睡會員</t>
        </is>
      </c>
    </row>
    <row r="73" ht="20" customHeight="1">
      <c r="A73" s="8" t="inlineStr">
        <is>
          <t>M20260070</t>
        </is>
      </c>
      <c r="B73" s="9" t="inlineStr">
        <is>
          <t>王志偉</t>
        </is>
      </c>
      <c r="C73" s="8" t="inlineStr">
        <is>
          <t>男</t>
        </is>
      </c>
      <c r="D73" s="10" t="n">
        <v>53</v>
      </c>
      <c r="E73" s="9" t="inlineStr">
        <is>
          <t>新北市</t>
        </is>
      </c>
      <c r="F73" s="9" t="inlineStr">
        <is>
          <t>gglzh35@icloud.com</t>
        </is>
      </c>
      <c r="G73" s="8" t="inlineStr">
        <is>
          <t>0925-238-973</t>
        </is>
      </c>
      <c r="H73" s="8" t="inlineStr">
        <is>
          <t>一般會員</t>
        </is>
      </c>
      <c r="I73" s="8" t="inlineStr">
        <is>
          <t>2023-12-20</t>
        </is>
      </c>
      <c r="J73" s="8" t="inlineStr">
        <is>
          <t>親友推薦</t>
        </is>
      </c>
      <c r="K73" s="10" t="n">
        <v>4</v>
      </c>
      <c r="L73" s="11" t="n">
        <v>1519</v>
      </c>
      <c r="M73" s="11">
        <f>ROUND(L73/K73, 0)</f>
        <v/>
      </c>
      <c r="N73" s="8" t="inlineStr">
        <is>
          <t>2026-03-28</t>
        </is>
      </c>
      <c r="O73" s="10" t="n">
        <v>35</v>
      </c>
      <c r="P73" s="8" t="inlineStr">
        <is>
          <t>沈睡會員</t>
        </is>
      </c>
    </row>
    <row r="74" ht="20" customHeight="1">
      <c r="A74" s="4" t="inlineStr">
        <is>
          <t>M20260071</t>
        </is>
      </c>
      <c r="B74" s="5" t="inlineStr">
        <is>
          <t>鄭子晴</t>
        </is>
      </c>
      <c r="C74" s="4" t="inlineStr">
        <is>
          <t>女</t>
        </is>
      </c>
      <c r="D74" s="6" t="n">
        <v>24</v>
      </c>
      <c r="E74" s="5" t="inlineStr">
        <is>
          <t>桃園市</t>
        </is>
      </c>
      <c r="F74" s="5" t="inlineStr">
        <is>
          <t>xwsyqun35@gmail.com</t>
        </is>
      </c>
      <c r="G74" s="4" t="inlineStr">
        <is>
          <t>0927-342-909</t>
        </is>
      </c>
      <c r="H74" s="4" t="inlineStr">
        <is>
          <t>一般會員</t>
        </is>
      </c>
      <c r="I74" s="4" t="inlineStr">
        <is>
          <t>2025-01-09</t>
        </is>
      </c>
      <c r="J74" s="4" t="inlineStr">
        <is>
          <t>KOL推薦</t>
        </is>
      </c>
      <c r="K74" s="6" t="n">
        <v>5</v>
      </c>
      <c r="L74" s="7" t="n">
        <v>3822</v>
      </c>
      <c r="M74" s="7">
        <f>ROUND(L74/K74, 0)</f>
        <v/>
      </c>
      <c r="N74" s="4" t="inlineStr">
        <is>
          <t>2026-05-02</t>
        </is>
      </c>
      <c r="O74" s="6" t="n">
        <v>99</v>
      </c>
      <c r="P74" s="4" t="inlineStr">
        <is>
          <t>正常活躍</t>
        </is>
      </c>
    </row>
    <row r="75" ht="20" customHeight="1">
      <c r="A75" s="8" t="inlineStr">
        <is>
          <t>M20260072</t>
        </is>
      </c>
      <c r="B75" s="9" t="inlineStr">
        <is>
          <t>黃俊宏</t>
        </is>
      </c>
      <c r="C75" s="8" t="inlineStr">
        <is>
          <t>男</t>
        </is>
      </c>
      <c r="D75" s="10" t="n">
        <v>45</v>
      </c>
      <c r="E75" s="9" t="inlineStr">
        <is>
          <t>宜蘭縣</t>
        </is>
      </c>
      <c r="F75" s="9" t="inlineStr">
        <is>
          <t>ntvbzqlr26@hotmail.com</t>
        </is>
      </c>
      <c r="G75" s="8" t="inlineStr">
        <is>
          <t>0980-755-701</t>
        </is>
      </c>
      <c r="H75" s="8" t="inlineStr">
        <is>
          <t>一般會員</t>
        </is>
      </c>
      <c r="I75" s="8" t="inlineStr">
        <is>
          <t>2023-09-22</t>
        </is>
      </c>
      <c r="J75" s="8" t="inlineStr">
        <is>
          <t>LINE官方帳號</t>
        </is>
      </c>
      <c r="K75" s="10" t="n">
        <v>5</v>
      </c>
      <c r="L75" s="11" t="n">
        <v>7912</v>
      </c>
      <c r="M75" s="11">
        <f>ROUND(L75/K75, 0)</f>
        <v/>
      </c>
      <c r="N75" s="8" t="inlineStr">
        <is>
          <t>2024-01-13</t>
        </is>
      </c>
      <c r="O75" s="10" t="n">
        <v>210</v>
      </c>
      <c r="P75" s="8" t="inlineStr">
        <is>
          <t>正常活躍</t>
        </is>
      </c>
    </row>
    <row r="76" ht="20" customHeight="1">
      <c r="A76" s="4" t="inlineStr">
        <is>
          <t>M20260073</t>
        </is>
      </c>
      <c r="B76" s="5" t="inlineStr">
        <is>
          <t>王佳穎</t>
        </is>
      </c>
      <c r="C76" s="4" t="inlineStr">
        <is>
          <t>女</t>
        </is>
      </c>
      <c r="D76" s="6" t="n">
        <v>40</v>
      </c>
      <c r="E76" s="5" t="inlineStr">
        <is>
          <t>新竹市</t>
        </is>
      </c>
      <c r="F76" s="5" t="inlineStr">
        <is>
          <t>iyxvgq26@hotmail.com</t>
        </is>
      </c>
      <c r="G76" s="4" t="inlineStr">
        <is>
          <t>0990-410-729</t>
        </is>
      </c>
      <c r="H76" s="4" t="inlineStr">
        <is>
          <t>銀卡會員</t>
        </is>
      </c>
      <c r="I76" s="4" t="inlineStr">
        <is>
          <t>2025-10-26</t>
        </is>
      </c>
      <c r="J76" s="4" t="inlineStr">
        <is>
          <t>親友推薦</t>
        </is>
      </c>
      <c r="K76" s="6" t="n">
        <v>5</v>
      </c>
      <c r="L76" s="7" t="n">
        <v>13052</v>
      </c>
      <c r="M76" s="7">
        <f>ROUND(L76/K76, 0)</f>
        <v/>
      </c>
      <c r="N76" s="4" t="inlineStr">
        <is>
          <t>2026-01-21</t>
        </is>
      </c>
      <c r="O76" s="6" t="n">
        <v>302</v>
      </c>
      <c r="P76" s="4" t="inlineStr">
        <is>
          <t>正常活躍</t>
        </is>
      </c>
    </row>
    <row r="77" ht="20" customHeight="1">
      <c r="A77" s="8" t="inlineStr">
        <is>
          <t>M20260074</t>
        </is>
      </c>
      <c r="B77" s="9" t="inlineStr">
        <is>
          <t>賴雅婷</t>
        </is>
      </c>
      <c r="C77" s="8" t="inlineStr">
        <is>
          <t>女</t>
        </is>
      </c>
      <c r="D77" s="10" t="n">
        <v>21</v>
      </c>
      <c r="E77" s="9" t="inlineStr">
        <is>
          <t>台北市</t>
        </is>
      </c>
      <c r="F77" s="9" t="inlineStr">
        <is>
          <t>qtkqmqh71@hotmail.com</t>
        </is>
      </c>
      <c r="G77" s="8" t="inlineStr">
        <is>
          <t>0941-924-926</t>
        </is>
      </c>
      <c r="H77" s="8" t="inlineStr">
        <is>
          <t>銀卡會員</t>
        </is>
      </c>
      <c r="I77" s="8" t="inlineStr">
        <is>
          <t>2024-09-01</t>
        </is>
      </c>
      <c r="J77" s="8" t="inlineStr">
        <is>
          <t>LINE官方帳號</t>
        </is>
      </c>
      <c r="K77" s="10" t="n">
        <v>4</v>
      </c>
      <c r="L77" s="11" t="n">
        <v>9963</v>
      </c>
      <c r="M77" s="11">
        <f>ROUND(L77/K77, 0)</f>
        <v/>
      </c>
      <c r="N77" s="8" t="inlineStr">
        <is>
          <t>2025-02-09</t>
        </is>
      </c>
      <c r="O77" s="10" t="n">
        <v>187</v>
      </c>
      <c r="P77" s="8" t="inlineStr">
        <is>
          <t>正常活躍</t>
        </is>
      </c>
    </row>
    <row r="78" ht="20" customHeight="1">
      <c r="A78" s="4" t="inlineStr">
        <is>
          <t>M20260075</t>
        </is>
      </c>
      <c r="B78" s="5" t="inlineStr">
        <is>
          <t>許宇軒</t>
        </is>
      </c>
      <c r="C78" s="4" t="inlineStr">
        <is>
          <t>男</t>
        </is>
      </c>
      <c r="D78" s="6" t="n">
        <v>29</v>
      </c>
      <c r="E78" s="5" t="inlineStr">
        <is>
          <t>新北市</t>
        </is>
      </c>
      <c r="F78" s="5" t="inlineStr">
        <is>
          <t>twzdjoi25@icloud.com</t>
        </is>
      </c>
      <c r="G78" s="4" t="inlineStr">
        <is>
          <t>0944-560-353</t>
        </is>
      </c>
      <c r="H78" s="4" t="inlineStr">
        <is>
          <t>一般會員</t>
        </is>
      </c>
      <c r="I78" s="4" t="inlineStr">
        <is>
          <t>2023-04-14</t>
        </is>
      </c>
      <c r="J78" s="4" t="inlineStr">
        <is>
          <t>FB廣告</t>
        </is>
      </c>
      <c r="K78" s="6" t="n">
        <v>4</v>
      </c>
      <c r="L78" s="7" t="n">
        <v>7879</v>
      </c>
      <c r="M78" s="7">
        <f>ROUND(L78/K78, 0)</f>
        <v/>
      </c>
      <c r="N78" s="4" t="inlineStr">
        <is>
          <t>2025-08-17</t>
        </is>
      </c>
      <c r="O78" s="6" t="n">
        <v>117</v>
      </c>
      <c r="P78" s="4" t="inlineStr">
        <is>
          <t>沈睡會員</t>
        </is>
      </c>
    </row>
    <row r="79" ht="20" customHeight="1">
      <c r="A79" s="8" t="inlineStr">
        <is>
          <t>M20260076</t>
        </is>
      </c>
      <c r="B79" s="9" t="inlineStr">
        <is>
          <t>許耀廷</t>
        </is>
      </c>
      <c r="C79" s="8" t="inlineStr">
        <is>
          <t>男</t>
        </is>
      </c>
      <c r="D79" s="10" t="n">
        <v>56</v>
      </c>
      <c r="E79" s="9" t="inlineStr">
        <is>
          <t>台中市</t>
        </is>
      </c>
      <c r="F79" s="9" t="inlineStr">
        <is>
          <t>tmnmia74@icloud.com</t>
        </is>
      </c>
      <c r="G79" s="8" t="inlineStr">
        <is>
          <t>0968-346-320</t>
        </is>
      </c>
      <c r="H79" s="8" t="inlineStr">
        <is>
          <t>銀卡會員</t>
        </is>
      </c>
      <c r="I79" s="8" t="inlineStr">
        <is>
          <t>2023-04-10</t>
        </is>
      </c>
      <c r="J79" s="8" t="inlineStr">
        <is>
          <t>官網註冊</t>
        </is>
      </c>
      <c r="K79" s="10" t="n">
        <v>7</v>
      </c>
      <c r="L79" s="11" t="n">
        <v>24216</v>
      </c>
      <c r="M79" s="11">
        <f>ROUND(L79/K79, 0)</f>
        <v/>
      </c>
      <c r="N79" s="8" t="inlineStr">
        <is>
          <t>2025-11-28</t>
        </is>
      </c>
      <c r="O79" s="10" t="n">
        <v>380</v>
      </c>
      <c r="P79" s="8" t="inlineStr">
        <is>
          <t>正常活躍</t>
        </is>
      </c>
    </row>
    <row r="80" ht="20" customHeight="1">
      <c r="A80" s="4" t="inlineStr">
        <is>
          <t>M20260077</t>
        </is>
      </c>
      <c r="B80" s="5" t="inlineStr">
        <is>
          <t>郭家豪</t>
        </is>
      </c>
      <c r="C80" s="4" t="inlineStr">
        <is>
          <t>男</t>
        </is>
      </c>
      <c r="D80" s="6" t="n">
        <v>36</v>
      </c>
      <c r="E80" s="5" t="inlineStr">
        <is>
          <t>台中市</t>
        </is>
      </c>
      <c r="F80" s="5" t="inlineStr">
        <is>
          <t>jkofobnt89@hotmail.com</t>
        </is>
      </c>
      <c r="G80" s="4" t="inlineStr">
        <is>
          <t>0997-725-221</t>
        </is>
      </c>
      <c r="H80" s="4" t="inlineStr">
        <is>
          <t>一般會員</t>
        </is>
      </c>
      <c r="I80" s="4" t="inlineStr">
        <is>
          <t>2023-07-18</t>
        </is>
      </c>
      <c r="J80" s="4" t="inlineStr">
        <is>
          <t>LINE官方帳號</t>
        </is>
      </c>
      <c r="K80" s="6" t="n">
        <v>3</v>
      </c>
      <c r="L80" s="7" t="n">
        <v>7311</v>
      </c>
      <c r="M80" s="7">
        <f>ROUND(L80/K80, 0)</f>
        <v/>
      </c>
      <c r="N80" s="4" t="inlineStr">
        <is>
          <t>2025-06-11</t>
        </is>
      </c>
      <c r="O80" s="6" t="n">
        <v>154</v>
      </c>
      <c r="P80" s="4" t="inlineStr">
        <is>
          <t>正常活躍</t>
        </is>
      </c>
    </row>
    <row r="81" ht="20" customHeight="1">
      <c r="A81" s="8" t="inlineStr">
        <is>
          <t>M20260078</t>
        </is>
      </c>
      <c r="B81" s="9" t="inlineStr">
        <is>
          <t>吳宇軒</t>
        </is>
      </c>
      <c r="C81" s="8" t="inlineStr">
        <is>
          <t>男</t>
        </is>
      </c>
      <c r="D81" s="10" t="n">
        <v>52</v>
      </c>
      <c r="E81" s="9" t="inlineStr">
        <is>
          <t>新北市</t>
        </is>
      </c>
      <c r="F81" s="9" t="inlineStr">
        <is>
          <t>bdiml51@yahoo.com.tw</t>
        </is>
      </c>
      <c r="G81" s="8" t="inlineStr">
        <is>
          <t>0988-426-266</t>
        </is>
      </c>
      <c r="H81" s="8" t="inlineStr">
        <is>
          <t>一般會員</t>
        </is>
      </c>
      <c r="I81" s="8" t="inlineStr">
        <is>
          <t>2026-06-16</t>
        </is>
      </c>
      <c r="J81" s="8" t="inlineStr">
        <is>
          <t>親友推薦</t>
        </is>
      </c>
      <c r="K81" s="10" t="n">
        <v>3</v>
      </c>
      <c r="L81" s="11" t="n">
        <v>5663</v>
      </c>
      <c r="M81" s="11">
        <f>ROUND(L81/K81, 0)</f>
        <v/>
      </c>
      <c r="N81" s="8" t="inlineStr">
        <is>
          <t>2026-07-07</t>
        </is>
      </c>
      <c r="O81" s="10" t="n">
        <v>114</v>
      </c>
      <c r="P81" s="8" t="inlineStr">
        <is>
          <t>正常活躍</t>
        </is>
      </c>
    </row>
    <row r="82" ht="20" customHeight="1">
      <c r="A82" s="4" t="inlineStr">
        <is>
          <t>M20260079</t>
        </is>
      </c>
      <c r="B82" s="5" t="inlineStr">
        <is>
          <t>賴欣怡</t>
        </is>
      </c>
      <c r="C82" s="4" t="inlineStr">
        <is>
          <t>女</t>
        </is>
      </c>
      <c r="D82" s="6" t="n">
        <v>50</v>
      </c>
      <c r="E82" s="5" t="inlineStr">
        <is>
          <t>高雄市</t>
        </is>
      </c>
      <c r="F82" s="5" t="inlineStr">
        <is>
          <t>ickhxwq43@icloud.com</t>
        </is>
      </c>
      <c r="G82" s="4" t="inlineStr">
        <is>
          <t>0993-901-894</t>
        </is>
      </c>
      <c r="H82" s="4" t="inlineStr">
        <is>
          <t>銀卡會員</t>
        </is>
      </c>
      <c r="I82" s="4" t="inlineStr">
        <is>
          <t>2024-04-11</t>
        </is>
      </c>
      <c r="J82" s="4" t="inlineStr">
        <is>
          <t>親友推薦</t>
        </is>
      </c>
      <c r="K82" s="6" t="n">
        <v>3</v>
      </c>
      <c r="L82" s="7" t="n">
        <v>23743</v>
      </c>
      <c r="M82" s="7">
        <f>ROUND(L82/K82, 0)</f>
        <v/>
      </c>
      <c r="N82" s="4" t="inlineStr">
        <is>
          <t>2024-10-02</t>
        </is>
      </c>
      <c r="O82" s="6" t="n">
        <v>486</v>
      </c>
      <c r="P82" s="4" t="inlineStr">
        <is>
          <t>正常活躍</t>
        </is>
      </c>
    </row>
    <row r="83" ht="20" customHeight="1">
      <c r="A83" s="8" t="inlineStr">
        <is>
          <t>M20260080</t>
        </is>
      </c>
      <c r="B83" s="9" t="inlineStr">
        <is>
          <t>李郁婷</t>
        </is>
      </c>
      <c r="C83" s="8" t="inlineStr">
        <is>
          <t>女</t>
        </is>
      </c>
      <c r="D83" s="10" t="n">
        <v>35</v>
      </c>
      <c r="E83" s="9" t="inlineStr">
        <is>
          <t>台北市</t>
        </is>
      </c>
      <c r="F83" s="9" t="inlineStr">
        <is>
          <t>elkkf17@icloud.com</t>
        </is>
      </c>
      <c r="G83" s="8" t="inlineStr">
        <is>
          <t>0927-631-312</t>
        </is>
      </c>
      <c r="H83" s="8" t="inlineStr">
        <is>
          <t>銀卡會員</t>
        </is>
      </c>
      <c r="I83" s="8" t="inlineStr">
        <is>
          <t>2025-09-06</t>
        </is>
      </c>
      <c r="J83" s="8" t="inlineStr">
        <is>
          <t>KOL推薦</t>
        </is>
      </c>
      <c r="K83" s="10" t="n">
        <v>9</v>
      </c>
      <c r="L83" s="11" t="n">
        <v>18281</v>
      </c>
      <c r="M83" s="11">
        <f>ROUND(L83/K83, 0)</f>
        <v/>
      </c>
      <c r="N83" s="8" t="inlineStr">
        <is>
          <t>2025-12-03</t>
        </is>
      </c>
      <c r="O83" s="10" t="n">
        <v>350</v>
      </c>
      <c r="P83" s="8" t="inlineStr">
        <is>
          <t>正常活躍</t>
        </is>
      </c>
    </row>
    <row r="84" ht="20" customHeight="1">
      <c r="A84" s="4" t="inlineStr">
        <is>
          <t>M20260081</t>
        </is>
      </c>
      <c r="B84" s="5" t="inlineStr">
        <is>
          <t>蔡鈺婷</t>
        </is>
      </c>
      <c r="C84" s="4" t="inlineStr">
        <is>
          <t>女</t>
        </is>
      </c>
      <c r="D84" s="6" t="n">
        <v>50</v>
      </c>
      <c r="E84" s="5" t="inlineStr">
        <is>
          <t>台北市</t>
        </is>
      </c>
      <c r="F84" s="5" t="inlineStr">
        <is>
          <t>hhyzus50@icloud.com</t>
        </is>
      </c>
      <c r="G84" s="4" t="inlineStr">
        <is>
          <t>0971-457-673</t>
        </is>
      </c>
      <c r="H84" s="4" t="inlineStr">
        <is>
          <t>金卡會員</t>
        </is>
      </c>
      <c r="I84" s="4" t="inlineStr">
        <is>
          <t>2024-07-14</t>
        </is>
      </c>
      <c r="J84" s="4" t="inlineStr">
        <is>
          <t>FB廣告</t>
        </is>
      </c>
      <c r="K84" s="6" t="n">
        <v>9</v>
      </c>
      <c r="L84" s="7" t="n">
        <v>62583</v>
      </c>
      <c r="M84" s="7">
        <f>ROUND(L84/K84, 0)</f>
        <v/>
      </c>
      <c r="N84" s="4" t="inlineStr">
        <is>
          <t>2026-06-06</t>
        </is>
      </c>
      <c r="O84" s="6" t="n">
        <v>1305</v>
      </c>
      <c r="P84" s="4" t="inlineStr">
        <is>
          <t>沈睡會員</t>
        </is>
      </c>
    </row>
    <row r="85" ht="20" customHeight="1">
      <c r="A85" s="8" t="inlineStr">
        <is>
          <t>M20260082</t>
        </is>
      </c>
      <c r="B85" s="9" t="inlineStr">
        <is>
          <t>鄭詩婷</t>
        </is>
      </c>
      <c r="C85" s="8" t="inlineStr">
        <is>
          <t>女</t>
        </is>
      </c>
      <c r="D85" s="10" t="n">
        <v>29</v>
      </c>
      <c r="E85" s="9" t="inlineStr">
        <is>
          <t>新北市</t>
        </is>
      </c>
      <c r="F85" s="9" t="inlineStr">
        <is>
          <t>ycyrtfv81@hotmail.com</t>
        </is>
      </c>
      <c r="G85" s="8" t="inlineStr">
        <is>
          <t>0999-378-240</t>
        </is>
      </c>
      <c r="H85" s="8" t="inlineStr">
        <is>
          <t>一般會員</t>
        </is>
      </c>
      <c r="I85" s="8" t="inlineStr">
        <is>
          <t>2026-04-16</t>
        </is>
      </c>
      <c r="J85" s="8" t="inlineStr">
        <is>
          <t>實體門市</t>
        </is>
      </c>
      <c r="K85" s="10" t="n">
        <v>2</v>
      </c>
      <c r="L85" s="11" t="n">
        <v>1215</v>
      </c>
      <c r="M85" s="11">
        <f>ROUND(L85/K85, 0)</f>
        <v/>
      </c>
      <c r="N85" s="8" t="inlineStr">
        <is>
          <t>2026-07-10</t>
        </is>
      </c>
      <c r="O85" s="10" t="n">
        <v>34</v>
      </c>
      <c r="P85" s="8" t="inlineStr">
        <is>
          <t>正常活躍</t>
        </is>
      </c>
    </row>
    <row r="86" ht="20" customHeight="1">
      <c r="A86" s="4" t="inlineStr">
        <is>
          <t>M20260083</t>
        </is>
      </c>
      <c r="B86" s="5" t="inlineStr">
        <is>
          <t>林宗憲</t>
        </is>
      </c>
      <c r="C86" s="4" t="inlineStr">
        <is>
          <t>男</t>
        </is>
      </c>
      <c r="D86" s="6" t="n">
        <v>46</v>
      </c>
      <c r="E86" s="5" t="inlineStr">
        <is>
          <t>新北市</t>
        </is>
      </c>
      <c r="F86" s="5" t="inlineStr">
        <is>
          <t>cuaoykyw93@icloud.com</t>
        </is>
      </c>
      <c r="G86" s="4" t="inlineStr">
        <is>
          <t>0935-874-394</t>
        </is>
      </c>
      <c r="H86" s="4" t="inlineStr">
        <is>
          <t>一般會員</t>
        </is>
      </c>
      <c r="I86" s="4" t="inlineStr">
        <is>
          <t>2023-05-02</t>
        </is>
      </c>
      <c r="J86" s="4" t="inlineStr">
        <is>
          <t>官網註冊</t>
        </is>
      </c>
      <c r="K86" s="6" t="n">
        <v>6</v>
      </c>
      <c r="L86" s="7" t="n">
        <v>5503</v>
      </c>
      <c r="M86" s="7">
        <f>ROUND(L86/K86, 0)</f>
        <v/>
      </c>
      <c r="N86" s="4" t="inlineStr">
        <is>
          <t>2024-08-19</t>
        </is>
      </c>
      <c r="O86" s="6" t="n">
        <v>113</v>
      </c>
      <c r="P86" s="4" t="inlineStr">
        <is>
          <t>正常活躍</t>
        </is>
      </c>
    </row>
    <row r="87" ht="20" customHeight="1">
      <c r="A87" s="8" t="inlineStr">
        <is>
          <t>M20260084</t>
        </is>
      </c>
      <c r="B87" s="9" t="inlineStr">
        <is>
          <t>王冠廷</t>
        </is>
      </c>
      <c r="C87" s="8" t="inlineStr">
        <is>
          <t>男</t>
        </is>
      </c>
      <c r="D87" s="10" t="n">
        <v>31</v>
      </c>
      <c r="E87" s="9" t="inlineStr">
        <is>
          <t>新竹市</t>
        </is>
      </c>
      <c r="F87" s="9" t="inlineStr">
        <is>
          <t>zkmyz14@hotmail.com</t>
        </is>
      </c>
      <c r="G87" s="8" t="inlineStr">
        <is>
          <t>0911-405-681</t>
        </is>
      </c>
      <c r="H87" s="8" t="inlineStr">
        <is>
          <t>銀卡會員</t>
        </is>
      </c>
      <c r="I87" s="8" t="inlineStr">
        <is>
          <t>2024-11-17</t>
        </is>
      </c>
      <c r="J87" s="8" t="inlineStr">
        <is>
          <t>FB廣告</t>
        </is>
      </c>
      <c r="K87" s="10" t="n">
        <v>10</v>
      </c>
      <c r="L87" s="11" t="n">
        <v>24184</v>
      </c>
      <c r="M87" s="11">
        <f>ROUND(L87/K87, 0)</f>
        <v/>
      </c>
      <c r="N87" s="8" t="inlineStr">
        <is>
          <t>2025-04-03</t>
        </is>
      </c>
      <c r="O87" s="10" t="n">
        <v>653</v>
      </c>
      <c r="P87" s="8" t="inlineStr">
        <is>
          <t>正常活躍</t>
        </is>
      </c>
    </row>
    <row r="88" ht="20" customHeight="1">
      <c r="A88" s="4" t="inlineStr">
        <is>
          <t>M20260085</t>
        </is>
      </c>
      <c r="B88" s="5" t="inlineStr">
        <is>
          <t>張建宏</t>
        </is>
      </c>
      <c r="C88" s="4" t="inlineStr">
        <is>
          <t>男</t>
        </is>
      </c>
      <c r="D88" s="6" t="n">
        <v>30</v>
      </c>
      <c r="E88" s="5" t="inlineStr">
        <is>
          <t>台南市</t>
        </is>
      </c>
      <c r="F88" s="5" t="inlineStr">
        <is>
          <t>saihrfp64@icloud.com</t>
        </is>
      </c>
      <c r="G88" s="4" t="inlineStr">
        <is>
          <t>0975-435-188</t>
        </is>
      </c>
      <c r="H88" s="4" t="inlineStr">
        <is>
          <t>一般會員</t>
        </is>
      </c>
      <c r="I88" s="4" t="inlineStr">
        <is>
          <t>2023-07-15</t>
        </is>
      </c>
      <c r="J88" s="4" t="inlineStr">
        <is>
          <t>實體門市</t>
        </is>
      </c>
      <c r="K88" s="6" t="n">
        <v>2</v>
      </c>
      <c r="L88" s="7" t="n">
        <v>4711</v>
      </c>
      <c r="M88" s="7">
        <f>ROUND(L88/K88, 0)</f>
        <v/>
      </c>
      <c r="N88" s="4" t="inlineStr">
        <is>
          <t>2025-05-07</t>
        </is>
      </c>
      <c r="O88" s="6" t="n">
        <v>135</v>
      </c>
      <c r="P88" s="4" t="inlineStr">
        <is>
          <t>正常活躍</t>
        </is>
      </c>
    </row>
    <row r="89" ht="20" customHeight="1">
      <c r="A89" s="8" t="inlineStr">
        <is>
          <t>M20260086</t>
        </is>
      </c>
      <c r="B89" s="9" t="inlineStr">
        <is>
          <t>劉依婷</t>
        </is>
      </c>
      <c r="C89" s="8" t="inlineStr">
        <is>
          <t>女</t>
        </is>
      </c>
      <c r="D89" s="10" t="n">
        <v>37</v>
      </c>
      <c r="E89" s="9" t="inlineStr">
        <is>
          <t>彰化縣</t>
        </is>
      </c>
      <c r="F89" s="9" t="inlineStr">
        <is>
          <t>pogjgrm61@yahoo.com.tw</t>
        </is>
      </c>
      <c r="G89" s="8" t="inlineStr">
        <is>
          <t>0997-614-820</t>
        </is>
      </c>
      <c r="H89" s="8" t="inlineStr">
        <is>
          <t>銀卡會員</t>
        </is>
      </c>
      <c r="I89" s="8" t="inlineStr">
        <is>
          <t>2023-08-29</t>
        </is>
      </c>
      <c r="J89" s="8" t="inlineStr">
        <is>
          <t>親友推薦</t>
        </is>
      </c>
      <c r="K89" s="10" t="n">
        <v>7</v>
      </c>
      <c r="L89" s="11" t="n">
        <v>20043</v>
      </c>
      <c r="M89" s="11">
        <f>ROUND(L89/K89, 0)</f>
        <v/>
      </c>
      <c r="N89" s="8" t="inlineStr">
        <is>
          <t>2024-11-23</t>
        </is>
      </c>
      <c r="O89" s="10" t="n">
        <v>288</v>
      </c>
      <c r="P89" s="8" t="inlineStr">
        <is>
          <t>正常活躍</t>
        </is>
      </c>
    </row>
    <row r="90" ht="20" customHeight="1">
      <c r="A90" s="4" t="inlineStr">
        <is>
          <t>M20260087</t>
        </is>
      </c>
      <c r="B90" s="5" t="inlineStr">
        <is>
          <t>洪子軒</t>
        </is>
      </c>
      <c r="C90" s="4" t="inlineStr">
        <is>
          <t>男</t>
        </is>
      </c>
      <c r="D90" s="6" t="n">
        <v>58</v>
      </c>
      <c r="E90" s="5" t="inlineStr">
        <is>
          <t>新北市</t>
        </is>
      </c>
      <c r="F90" s="5" t="inlineStr">
        <is>
          <t>tuvtrpun19@hotmail.com</t>
        </is>
      </c>
      <c r="G90" s="4" t="inlineStr">
        <is>
          <t>0982-214-163</t>
        </is>
      </c>
      <c r="H90" s="4" t="inlineStr">
        <is>
          <t>金卡會員</t>
        </is>
      </c>
      <c r="I90" s="4" t="inlineStr">
        <is>
          <t>2025-11-01</t>
        </is>
      </c>
      <c r="J90" s="4" t="inlineStr">
        <is>
          <t>實體門市</t>
        </is>
      </c>
      <c r="K90" s="6" t="n">
        <v>17</v>
      </c>
      <c r="L90" s="7" t="n">
        <v>60170</v>
      </c>
      <c r="M90" s="7">
        <f>ROUND(L90/K90, 0)</f>
        <v/>
      </c>
      <c r="N90" s="4" t="inlineStr">
        <is>
          <t>2026-01-16</t>
        </is>
      </c>
      <c r="O90" s="6" t="n">
        <v>799</v>
      </c>
      <c r="P90" s="4" t="inlineStr">
        <is>
          <t>沈睡會員</t>
        </is>
      </c>
    </row>
    <row r="91" ht="20" customHeight="1">
      <c r="A91" s="8" t="inlineStr">
        <is>
          <t>M20260088</t>
        </is>
      </c>
      <c r="B91" s="9" t="inlineStr">
        <is>
          <t>張詠晴</t>
        </is>
      </c>
      <c r="C91" s="8" t="inlineStr">
        <is>
          <t>女</t>
        </is>
      </c>
      <c r="D91" s="10" t="n">
        <v>33</v>
      </c>
      <c r="E91" s="9" t="inlineStr">
        <is>
          <t>台中市</t>
        </is>
      </c>
      <c r="F91" s="9" t="inlineStr">
        <is>
          <t>cnvlnlbm12@hotmail.com</t>
        </is>
      </c>
      <c r="G91" s="8" t="inlineStr">
        <is>
          <t>0960-360-936</t>
        </is>
      </c>
      <c r="H91" s="8" t="inlineStr">
        <is>
          <t>一般會員</t>
        </is>
      </c>
      <c r="I91" s="8" t="inlineStr">
        <is>
          <t>2024-03-22</t>
        </is>
      </c>
      <c r="J91" s="8" t="inlineStr">
        <is>
          <t>KOL推薦</t>
        </is>
      </c>
      <c r="K91" s="10" t="n">
        <v>1</v>
      </c>
      <c r="L91" s="11" t="n">
        <v>1171</v>
      </c>
      <c r="M91" s="11">
        <f>ROUND(L91/K91, 0)</f>
        <v/>
      </c>
      <c r="N91" s="8" t="inlineStr">
        <is>
          <t>2025-05-29</t>
        </is>
      </c>
      <c r="O91" s="10" t="n">
        <v>19</v>
      </c>
      <c r="P91" s="8" t="inlineStr">
        <is>
          <t>正常活躍</t>
        </is>
      </c>
    </row>
    <row r="92" ht="20" customHeight="1">
      <c r="A92" s="4" t="inlineStr">
        <is>
          <t>M20260089</t>
        </is>
      </c>
      <c r="B92" s="5" t="inlineStr">
        <is>
          <t>黃耀廷</t>
        </is>
      </c>
      <c r="C92" s="4" t="inlineStr">
        <is>
          <t>男</t>
        </is>
      </c>
      <c r="D92" s="6" t="n">
        <v>50</v>
      </c>
      <c r="E92" s="5" t="inlineStr">
        <is>
          <t>台北市</t>
        </is>
      </c>
      <c r="F92" s="5" t="inlineStr">
        <is>
          <t>edqszjxl58@icloud.com</t>
        </is>
      </c>
      <c r="G92" s="4" t="inlineStr">
        <is>
          <t>0920-799-777</t>
        </is>
      </c>
      <c r="H92" s="4" t="inlineStr">
        <is>
          <t>金卡會員</t>
        </is>
      </c>
      <c r="I92" s="4" t="inlineStr">
        <is>
          <t>2023-09-30</t>
        </is>
      </c>
      <c r="J92" s="4" t="inlineStr">
        <is>
          <t>親友推薦</t>
        </is>
      </c>
      <c r="K92" s="6" t="n">
        <v>21</v>
      </c>
      <c r="L92" s="7" t="n">
        <v>47791</v>
      </c>
      <c r="M92" s="7">
        <f>ROUND(L92/K92, 0)</f>
        <v/>
      </c>
      <c r="N92" s="4" t="inlineStr">
        <is>
          <t>2024-05-29</t>
        </is>
      </c>
      <c r="O92" s="6" t="n">
        <v>648</v>
      </c>
      <c r="P92" s="4" t="inlineStr">
        <is>
          <t>正常活躍</t>
        </is>
      </c>
    </row>
    <row r="93" ht="20" customHeight="1">
      <c r="A93" s="8" t="inlineStr">
        <is>
          <t>M20260090</t>
        </is>
      </c>
      <c r="B93" s="9" t="inlineStr">
        <is>
          <t>劉致遠</t>
        </is>
      </c>
      <c r="C93" s="8" t="inlineStr">
        <is>
          <t>男</t>
        </is>
      </c>
      <c r="D93" s="10" t="n">
        <v>20</v>
      </c>
      <c r="E93" s="9" t="inlineStr">
        <is>
          <t>台南市</t>
        </is>
      </c>
      <c r="F93" s="9" t="inlineStr">
        <is>
          <t>msljfle24@yahoo.com.tw</t>
        </is>
      </c>
      <c r="G93" s="8" t="inlineStr">
        <is>
          <t>0914-928-776</t>
        </is>
      </c>
      <c r="H93" s="8" t="inlineStr">
        <is>
          <t>一般會員</t>
        </is>
      </c>
      <c r="I93" s="8" t="inlineStr">
        <is>
          <t>2023-02-02</t>
        </is>
      </c>
      <c r="J93" s="8" t="inlineStr">
        <is>
          <t>實體門市</t>
        </is>
      </c>
      <c r="K93" s="10" t="n">
        <v>2</v>
      </c>
      <c r="L93" s="11" t="n">
        <v>1351</v>
      </c>
      <c r="M93" s="11">
        <f>ROUND(L93/K93, 0)</f>
        <v/>
      </c>
      <c r="N93" s="8" t="inlineStr">
        <is>
          <t>2023-08-27</t>
        </is>
      </c>
      <c r="O93" s="10" t="n">
        <v>29</v>
      </c>
      <c r="P93" s="8" t="inlineStr">
        <is>
          <t>正常活躍</t>
        </is>
      </c>
    </row>
    <row r="94" ht="20" customHeight="1">
      <c r="A94" s="4" t="inlineStr">
        <is>
          <t>M20260091</t>
        </is>
      </c>
      <c r="B94" s="5" t="inlineStr">
        <is>
          <t>劉子軒</t>
        </is>
      </c>
      <c r="C94" s="4" t="inlineStr">
        <is>
          <t>男</t>
        </is>
      </c>
      <c r="D94" s="6" t="n">
        <v>22</v>
      </c>
      <c r="E94" s="5" t="inlineStr">
        <is>
          <t>新北市</t>
        </is>
      </c>
      <c r="F94" s="5" t="inlineStr">
        <is>
          <t>otudzg83@hotmail.com</t>
        </is>
      </c>
      <c r="G94" s="4" t="inlineStr">
        <is>
          <t>0986-891-788</t>
        </is>
      </c>
      <c r="H94" s="4" t="inlineStr">
        <is>
          <t>金卡會員</t>
        </is>
      </c>
      <c r="I94" s="4" t="inlineStr">
        <is>
          <t>2024-04-30</t>
        </is>
      </c>
      <c r="J94" s="4" t="inlineStr">
        <is>
          <t>FB廣告</t>
        </is>
      </c>
      <c r="K94" s="6" t="n">
        <v>22</v>
      </c>
      <c r="L94" s="7" t="n">
        <v>34388</v>
      </c>
      <c r="M94" s="7">
        <f>ROUND(L94/K94, 0)</f>
        <v/>
      </c>
      <c r="N94" s="4" t="inlineStr">
        <is>
          <t>2026-03-07</t>
        </is>
      </c>
      <c r="O94" s="6" t="n">
        <v>702</v>
      </c>
      <c r="P94" s="4" t="inlineStr">
        <is>
          <t>正常活躍</t>
        </is>
      </c>
    </row>
    <row r="95" ht="20" customHeight="1">
      <c r="A95" s="8" t="inlineStr">
        <is>
          <t>M20260092</t>
        </is>
      </c>
      <c r="B95" s="9" t="inlineStr">
        <is>
          <t>林雅筑</t>
        </is>
      </c>
      <c r="C95" s="8" t="inlineStr">
        <is>
          <t>女</t>
        </is>
      </c>
      <c r="D95" s="10" t="n">
        <v>57</v>
      </c>
      <c r="E95" s="9" t="inlineStr">
        <is>
          <t>高雄市</t>
        </is>
      </c>
      <c r="F95" s="9" t="inlineStr">
        <is>
          <t>qlmzyr99@hotmail.com</t>
        </is>
      </c>
      <c r="G95" s="8" t="inlineStr">
        <is>
          <t>0963-518-252</t>
        </is>
      </c>
      <c r="H95" s="8" t="inlineStr">
        <is>
          <t>一般會員</t>
        </is>
      </c>
      <c r="I95" s="8" t="inlineStr">
        <is>
          <t>2024-01-12</t>
        </is>
      </c>
      <c r="J95" s="8" t="inlineStr">
        <is>
          <t>KOL推薦</t>
        </is>
      </c>
      <c r="K95" s="10" t="n">
        <v>4</v>
      </c>
      <c r="L95" s="11" t="n">
        <v>2774</v>
      </c>
      <c r="M95" s="11">
        <f>ROUND(L95/K95, 0)</f>
        <v/>
      </c>
      <c r="N95" s="8" t="inlineStr">
        <is>
          <t>2026-05-30</t>
        </is>
      </c>
      <c r="O95" s="10" t="n">
        <v>40</v>
      </c>
      <c r="P95" s="8" t="inlineStr">
        <is>
          <t>沈睡會員</t>
        </is>
      </c>
    </row>
    <row r="96" ht="20" customHeight="1">
      <c r="A96" s="4" t="inlineStr">
        <is>
          <t>M20260093</t>
        </is>
      </c>
      <c r="B96" s="5" t="inlineStr">
        <is>
          <t>洪耀廷</t>
        </is>
      </c>
      <c r="C96" s="4" t="inlineStr">
        <is>
          <t>男</t>
        </is>
      </c>
      <c r="D96" s="6" t="n">
        <v>23</v>
      </c>
      <c r="E96" s="5" t="inlineStr">
        <is>
          <t>桃園市</t>
        </is>
      </c>
      <c r="F96" s="5" t="inlineStr">
        <is>
          <t>odgfqxwc16@yahoo.com.tw</t>
        </is>
      </c>
      <c r="G96" s="4" t="inlineStr">
        <is>
          <t>0944-486-789</t>
        </is>
      </c>
      <c r="H96" s="4" t="inlineStr">
        <is>
          <t>銀卡會員</t>
        </is>
      </c>
      <c r="I96" s="4" t="inlineStr">
        <is>
          <t>2023-03-22</t>
        </is>
      </c>
      <c r="J96" s="4" t="inlineStr">
        <is>
          <t>官網註冊</t>
        </is>
      </c>
      <c r="K96" s="6" t="n">
        <v>6</v>
      </c>
      <c r="L96" s="7" t="n">
        <v>15111</v>
      </c>
      <c r="M96" s="7">
        <f>ROUND(L96/K96, 0)</f>
        <v/>
      </c>
      <c r="N96" s="4" t="inlineStr">
        <is>
          <t>2025-11-27</t>
        </is>
      </c>
      <c r="O96" s="6" t="n">
        <v>214</v>
      </c>
      <c r="P96" s="4" t="inlineStr">
        <is>
          <t>沈睡會員</t>
        </is>
      </c>
    </row>
    <row r="97" ht="20" customHeight="1">
      <c r="A97" s="8" t="inlineStr">
        <is>
          <t>M20260094</t>
        </is>
      </c>
      <c r="B97" s="9" t="inlineStr">
        <is>
          <t>陳宜蓁</t>
        </is>
      </c>
      <c r="C97" s="8" t="inlineStr">
        <is>
          <t>女</t>
        </is>
      </c>
      <c r="D97" s="10" t="n">
        <v>32</v>
      </c>
      <c r="E97" s="9" t="inlineStr">
        <is>
          <t>彰化縣</t>
        </is>
      </c>
      <c r="F97" s="9" t="inlineStr">
        <is>
          <t>ttxss40@icloud.com</t>
        </is>
      </c>
      <c r="G97" s="8" t="inlineStr">
        <is>
          <t>0980-429-894</t>
        </is>
      </c>
      <c r="H97" s="8" t="inlineStr">
        <is>
          <t>一般會員</t>
        </is>
      </c>
      <c r="I97" s="8" t="inlineStr">
        <is>
          <t>2025-08-12</t>
        </is>
      </c>
      <c r="J97" s="8" t="inlineStr">
        <is>
          <t>KOL推薦</t>
        </is>
      </c>
      <c r="K97" s="10" t="n">
        <v>6</v>
      </c>
      <c r="L97" s="11" t="n">
        <v>3743</v>
      </c>
      <c r="M97" s="11">
        <f>ROUND(L97/K97, 0)</f>
        <v/>
      </c>
      <c r="N97" s="8" t="inlineStr">
        <is>
          <t>2026-01-16</t>
        </is>
      </c>
      <c r="O97" s="10" t="n">
        <v>57</v>
      </c>
      <c r="P97" s="8" t="inlineStr">
        <is>
          <t>正常活躍</t>
        </is>
      </c>
    </row>
    <row r="98" ht="20" customHeight="1">
      <c r="A98" s="4" t="inlineStr">
        <is>
          <t>M20260095</t>
        </is>
      </c>
      <c r="B98" s="5" t="inlineStr">
        <is>
          <t>洪婷婷</t>
        </is>
      </c>
      <c r="C98" s="4" t="inlineStr">
        <is>
          <t>女</t>
        </is>
      </c>
      <c r="D98" s="6" t="n">
        <v>50</v>
      </c>
      <c r="E98" s="5" t="inlineStr">
        <is>
          <t>台南市</t>
        </is>
      </c>
      <c r="F98" s="5" t="inlineStr">
        <is>
          <t>xjkofdg47@icloud.com</t>
        </is>
      </c>
      <c r="G98" s="4" t="inlineStr">
        <is>
          <t>0929-300-437</t>
        </is>
      </c>
      <c r="H98" s="4" t="inlineStr">
        <is>
          <t>一般會員</t>
        </is>
      </c>
      <c r="I98" s="4" t="inlineStr">
        <is>
          <t>2026-03-12</t>
        </is>
      </c>
      <c r="J98" s="4" t="inlineStr">
        <is>
          <t>實體門市</t>
        </is>
      </c>
      <c r="K98" s="6" t="n">
        <v>4</v>
      </c>
      <c r="L98" s="7" t="n">
        <v>5310</v>
      </c>
      <c r="M98" s="7">
        <f>ROUND(L98/K98, 0)</f>
        <v/>
      </c>
      <c r="N98" s="4" t="inlineStr">
        <is>
          <t>2026-06-06</t>
        </is>
      </c>
      <c r="O98" s="6" t="n">
        <v>80</v>
      </c>
      <c r="P98" s="4" t="inlineStr">
        <is>
          <t>沈睡會員</t>
        </is>
      </c>
    </row>
    <row r="99" ht="20" customHeight="1">
      <c r="A99" s="8" t="inlineStr">
        <is>
          <t>M20260096</t>
        </is>
      </c>
      <c r="B99" s="9" t="inlineStr">
        <is>
          <t>洪佳穎</t>
        </is>
      </c>
      <c r="C99" s="8" t="inlineStr">
        <is>
          <t>女</t>
        </is>
      </c>
      <c r="D99" s="10" t="n">
        <v>42</v>
      </c>
      <c r="E99" s="9" t="inlineStr">
        <is>
          <t>台北市</t>
        </is>
      </c>
      <c r="F99" s="9" t="inlineStr">
        <is>
          <t>exzynvbv10@gmail.com</t>
        </is>
      </c>
      <c r="G99" s="8" t="inlineStr">
        <is>
          <t>0962-240-962</t>
        </is>
      </c>
      <c r="H99" s="8" t="inlineStr">
        <is>
          <t>銀卡會員</t>
        </is>
      </c>
      <c r="I99" s="8" t="inlineStr">
        <is>
          <t>2023-05-20</t>
        </is>
      </c>
      <c r="J99" s="8" t="inlineStr">
        <is>
          <t>親友推薦</t>
        </is>
      </c>
      <c r="K99" s="10" t="n">
        <v>5</v>
      </c>
      <c r="L99" s="11" t="n">
        <v>8299</v>
      </c>
      <c r="M99" s="11">
        <f>ROUND(L99/K99, 0)</f>
        <v/>
      </c>
      <c r="N99" s="8" t="inlineStr">
        <is>
          <t>2024-08-09</t>
        </is>
      </c>
      <c r="O99" s="10" t="n">
        <v>166</v>
      </c>
      <c r="P99" s="8" t="inlineStr">
        <is>
          <t>正常活躍</t>
        </is>
      </c>
    </row>
    <row r="100" ht="20" customHeight="1">
      <c r="A100" s="4" t="inlineStr">
        <is>
          <t>M20260097</t>
        </is>
      </c>
      <c r="B100" s="5" t="inlineStr">
        <is>
          <t>曾雅婷</t>
        </is>
      </c>
      <c r="C100" s="4" t="inlineStr">
        <is>
          <t>女</t>
        </is>
      </c>
      <c r="D100" s="6" t="n">
        <v>20</v>
      </c>
      <c r="E100" s="5" t="inlineStr">
        <is>
          <t>桃園市</t>
        </is>
      </c>
      <c r="F100" s="5" t="inlineStr">
        <is>
          <t>anhzavru23@yahoo.com.tw</t>
        </is>
      </c>
      <c r="G100" s="4" t="inlineStr">
        <is>
          <t>0922-636-252</t>
        </is>
      </c>
      <c r="H100" s="4" t="inlineStr">
        <is>
          <t>一般會員</t>
        </is>
      </c>
      <c r="I100" s="4" t="inlineStr">
        <is>
          <t>2026-06-23</t>
        </is>
      </c>
      <c r="J100" s="4" t="inlineStr">
        <is>
          <t>KOL推薦</t>
        </is>
      </c>
      <c r="K100" s="6" t="n">
        <v>3</v>
      </c>
      <c r="L100" s="7" t="n">
        <v>7478</v>
      </c>
      <c r="M100" s="7">
        <f>ROUND(L100/K100, 0)</f>
        <v/>
      </c>
      <c r="N100" s="4" t="inlineStr">
        <is>
          <t>2026-07-15</t>
        </is>
      </c>
      <c r="O100" s="6" t="n">
        <v>114</v>
      </c>
      <c r="P100" s="4" t="inlineStr">
        <is>
          <t>正常活躍</t>
        </is>
      </c>
    </row>
    <row r="101" ht="20" customHeight="1">
      <c r="A101" s="8" t="inlineStr">
        <is>
          <t>M20260098</t>
        </is>
      </c>
      <c r="B101" s="9" t="inlineStr">
        <is>
          <t>謝依婷</t>
        </is>
      </c>
      <c r="C101" s="8" t="inlineStr">
        <is>
          <t>女</t>
        </is>
      </c>
      <c r="D101" s="10" t="n">
        <v>56</v>
      </c>
      <c r="E101" s="9" t="inlineStr">
        <is>
          <t>台北市</t>
        </is>
      </c>
      <c r="F101" s="9" t="inlineStr">
        <is>
          <t>hvczqa58@icloud.com</t>
        </is>
      </c>
      <c r="G101" s="8" t="inlineStr">
        <is>
          <t>0958-665-587</t>
        </is>
      </c>
      <c r="H101" s="8" t="inlineStr">
        <is>
          <t>一般會員</t>
        </is>
      </c>
      <c r="I101" s="8" t="inlineStr">
        <is>
          <t>2023-01-20</t>
        </is>
      </c>
      <c r="J101" s="8" t="inlineStr">
        <is>
          <t>親友推薦</t>
        </is>
      </c>
      <c r="K101" s="10" t="n">
        <v>2</v>
      </c>
      <c r="L101" s="11" t="n">
        <v>1477</v>
      </c>
      <c r="M101" s="11">
        <f>ROUND(L101/K101, 0)</f>
        <v/>
      </c>
      <c r="N101" s="8" t="inlineStr">
        <is>
          <t>2025-11-08</t>
        </is>
      </c>
      <c r="O101" s="10" t="n">
        <v>39</v>
      </c>
      <c r="P101" s="8" t="inlineStr">
        <is>
          <t>正常活躍</t>
        </is>
      </c>
    </row>
    <row r="102" ht="20" customHeight="1">
      <c r="A102" s="4" t="inlineStr">
        <is>
          <t>M20260099</t>
        </is>
      </c>
      <c r="B102" s="5" t="inlineStr">
        <is>
          <t>賴郁婷</t>
        </is>
      </c>
      <c r="C102" s="4" t="inlineStr">
        <is>
          <t>女</t>
        </is>
      </c>
      <c r="D102" s="6" t="n">
        <v>26</v>
      </c>
      <c r="E102" s="5" t="inlineStr">
        <is>
          <t>高雄市</t>
        </is>
      </c>
      <c r="F102" s="5" t="inlineStr">
        <is>
          <t>fxroh97@gmail.com</t>
        </is>
      </c>
      <c r="G102" s="4" t="inlineStr">
        <is>
          <t>0945-656-677</t>
        </is>
      </c>
      <c r="H102" s="4" t="inlineStr">
        <is>
          <t>銀卡會員</t>
        </is>
      </c>
      <c r="I102" s="4" t="inlineStr">
        <is>
          <t>2024-01-03</t>
        </is>
      </c>
      <c r="J102" s="4" t="inlineStr">
        <is>
          <t>FB廣告</t>
        </is>
      </c>
      <c r="K102" s="6" t="n">
        <v>3</v>
      </c>
      <c r="L102" s="7" t="n">
        <v>14788</v>
      </c>
      <c r="M102" s="7">
        <f>ROUND(L102/K102, 0)</f>
        <v/>
      </c>
      <c r="N102" s="4" t="inlineStr">
        <is>
          <t>2025-08-26</t>
        </is>
      </c>
      <c r="O102" s="6" t="n">
        <v>190</v>
      </c>
      <c r="P102" s="4" t="inlineStr">
        <is>
          <t>沈睡會員</t>
        </is>
      </c>
    </row>
    <row r="103" ht="20" customHeight="1">
      <c r="A103" s="8" t="inlineStr">
        <is>
          <t>M20260100</t>
        </is>
      </c>
      <c r="B103" s="9" t="inlineStr">
        <is>
          <t>黃欣怡</t>
        </is>
      </c>
      <c r="C103" s="8" t="inlineStr">
        <is>
          <t>女</t>
        </is>
      </c>
      <c r="D103" s="10" t="n">
        <v>30</v>
      </c>
      <c r="E103" s="9" t="inlineStr">
        <is>
          <t>桃園市</t>
        </is>
      </c>
      <c r="F103" s="9" t="inlineStr">
        <is>
          <t>rojturct16@hotmail.com</t>
        </is>
      </c>
      <c r="G103" s="8" t="inlineStr">
        <is>
          <t>0922-547-337</t>
        </is>
      </c>
      <c r="H103" s="8" t="inlineStr">
        <is>
          <t>金卡會員</t>
        </is>
      </c>
      <c r="I103" s="8" t="inlineStr">
        <is>
          <t>2024-11-28</t>
        </is>
      </c>
      <c r="J103" s="8" t="inlineStr">
        <is>
          <t>KOL推薦</t>
        </is>
      </c>
      <c r="K103" s="10" t="n">
        <v>20</v>
      </c>
      <c r="L103" s="11" t="n">
        <v>64033</v>
      </c>
      <c r="M103" s="11">
        <f>ROUND(L103/K103, 0)</f>
        <v/>
      </c>
      <c r="N103" s="8" t="inlineStr">
        <is>
          <t>2026-01-08</t>
        </is>
      </c>
      <c r="O103" s="10" t="n">
        <v>1881</v>
      </c>
      <c r="P103" s="8" t="inlineStr">
        <is>
          <t>正常活躍</t>
        </is>
      </c>
    </row>
    <row r="104" ht="22" customHeight="1">
      <c r="A104" s="12" t="inlineStr">
        <is>
          <t>總計 / 平均</t>
        </is>
      </c>
      <c r="B104" s="13" t="n"/>
      <c r="C104" s="13" t="n"/>
      <c r="D104" s="14">
        <f>AVERAGE(D4:D103)</f>
        <v/>
      </c>
      <c r="E104" s="13" t="n"/>
      <c r="F104" s="13" t="n"/>
      <c r="G104" s="13" t="n"/>
      <c r="H104" s="13" t="n"/>
      <c r="I104" s="13" t="n"/>
      <c r="J104" s="13" t="n"/>
      <c r="K104" s="15">
        <f>SUM(K4:K103)</f>
        <v/>
      </c>
      <c r="L104" s="16">
        <f>SUM(L4:L103)</f>
        <v/>
      </c>
      <c r="M104" s="16">
        <f>AVERAGE(M4:M103)</f>
        <v/>
      </c>
      <c r="N104" s="13" t="n"/>
      <c r="O104" s="15">
        <f>SUM(O4:O103)</f>
        <v/>
      </c>
      <c r="P104" s="13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4" customWidth="1" min="7" max="7"/>
    <col width="18" customWidth="1" min="8" max="8"/>
    <col width="14" customWidth="1" min="9" max="9"/>
  </cols>
  <sheetData>
    <row r="1" ht="40" customHeight="1">
      <c r="A1" s="17" t="inlineStr">
        <is>
          <t>會員數據分析與統計概覽 (KPI Dashboard)</t>
        </is>
      </c>
    </row>
    <row r="3" ht="20" customHeight="1">
      <c r="B3" s="18" t="inlineStr">
        <is>
          <t>總會員人數</t>
        </is>
      </c>
      <c r="D3" s="18" t="inlineStr">
        <is>
          <t>總消費營業額</t>
        </is>
      </c>
      <c r="F3" s="18" t="inlineStr">
        <is>
          <t>平均客單價</t>
        </is>
      </c>
      <c r="H3" s="18" t="inlineStr">
        <is>
          <t>活躍會員佔比</t>
        </is>
      </c>
    </row>
    <row r="4" ht="28" customHeight="1">
      <c r="B4" s="19">
        <f>COUNTA(會員原始資料表!A4:A103)</f>
        <v/>
      </c>
      <c r="D4" s="20">
        <f>會員原始資料表!L104</f>
        <v/>
      </c>
      <c r="F4" s="20">
        <f>會員原始資料表!M104</f>
        <v/>
      </c>
      <c r="H4" s="21">
        <f>COUNTIF(會員原始資料表!P4:P103, "正常活躍")/100</f>
        <v/>
      </c>
    </row>
    <row r="5" ht="10" customHeight="1"/>
    <row r="7" ht="24" customHeight="1">
      <c r="B7" s="22" t="inlineStr">
        <is>
          <t>會員等級分析</t>
        </is>
      </c>
      <c r="C7" s="22" t="inlineStr">
        <is>
          <t>人數</t>
        </is>
      </c>
      <c r="D7" s="22" t="inlineStr">
        <is>
          <t>消費佔比</t>
        </is>
      </c>
      <c r="F7" s="22" t="inlineStr">
        <is>
          <t>獲客管道</t>
        </is>
      </c>
      <c r="G7" s="22" t="inlineStr">
        <is>
          <t>人數</t>
        </is>
      </c>
      <c r="H7" s="22" t="inlineStr">
        <is>
          <t>總貢獻金額</t>
        </is>
      </c>
    </row>
    <row r="8" ht="20" customHeight="1">
      <c r="B8" s="23" t="inlineStr">
        <is>
          <t>一般會員</t>
        </is>
      </c>
      <c r="C8" s="24">
        <f>COUNTIF(會員原始資料表!$H$4:$H$103, "一般會員")</f>
        <v/>
      </c>
      <c r="D8" s="25">
        <f>SUMIF(會員原始資料表!$H$4:$H$103, "一般會員", 會員原始資料表!$L$4:$L$103)/會員原始資料表!$L$104</f>
        <v/>
      </c>
      <c r="F8" s="23" t="inlineStr">
        <is>
          <t>官網註冊</t>
        </is>
      </c>
      <c r="G8" s="24">
        <f>COUNTIF(會員原始資料表!$J$4:$J$103, "官網註冊")</f>
        <v/>
      </c>
      <c r="H8" s="26">
        <f>SUMIF(會員原始資料表!$J$4:$J$103, "官網註冊", 會員原始資料表!$L$4:$L$103)</f>
        <v/>
      </c>
    </row>
    <row r="9" ht="20" customHeight="1">
      <c r="B9" s="23" t="inlineStr">
        <is>
          <t>銀卡會員</t>
        </is>
      </c>
      <c r="C9" s="24">
        <f>COUNTIF(會員原始資料表!$H$4:$H$103, "銀卡會員")</f>
        <v/>
      </c>
      <c r="D9" s="25">
        <f>SUMIF(會員原始資料表!$H$4:$H$103, "銀卡會員", 會員原始資料表!$L$4:$L$103)/會員原始資料表!$L$104</f>
        <v/>
      </c>
      <c r="F9" s="23" t="inlineStr">
        <is>
          <t>實體門市</t>
        </is>
      </c>
      <c r="G9" s="24">
        <f>COUNTIF(會員原始資料表!$J$4:$J$103, "實體門市")</f>
        <v/>
      </c>
      <c r="H9" s="26">
        <f>SUMIF(會員原始資料表!$J$4:$J$103, "實體門市", 會員原始資料表!$L$4:$L$103)</f>
        <v/>
      </c>
    </row>
    <row r="10" ht="20" customHeight="1">
      <c r="B10" s="23" t="inlineStr">
        <is>
          <t>金卡會員</t>
        </is>
      </c>
      <c r="C10" s="24">
        <f>COUNTIF(會員原始資料表!$H$4:$H$103, "金卡會員")</f>
        <v/>
      </c>
      <c r="D10" s="25">
        <f>SUMIF(會員原始資料表!$H$4:$H$103, "金卡會員", 會員原始資料表!$L$4:$L$103)/會員原始資料表!$L$104</f>
        <v/>
      </c>
      <c r="F10" s="23" t="inlineStr">
        <is>
          <t>FB廣告</t>
        </is>
      </c>
      <c r="G10" s="24">
        <f>COUNTIF(會員原始資料表!$J$4:$J$103, "FB廣告")</f>
        <v/>
      </c>
      <c r="H10" s="26">
        <f>SUMIF(會員原始資料表!$J$4:$J$103, "FB廣告", 會員原始資料表!$L$4:$L$103)</f>
        <v/>
      </c>
    </row>
    <row r="11" ht="20" customHeight="1">
      <c r="B11" s="23" t="inlineStr">
        <is>
          <t>黑卡尊榮</t>
        </is>
      </c>
      <c r="C11" s="24">
        <f>COUNTIF(會員原始資料表!$H$4:$H$103, "黑卡尊榮")</f>
        <v/>
      </c>
      <c r="D11" s="25">
        <f>SUMIF(會員原始資料表!$H$4:$H$103, "黑卡尊榮", 會員原始資料表!$L$4:$L$103)/會員原始資料表!$L$104</f>
        <v/>
      </c>
      <c r="F11" s="23" t="inlineStr">
        <is>
          <t>LINE官方帳號</t>
        </is>
      </c>
      <c r="G11" s="24">
        <f>COUNTIF(會員原始資料表!$J$4:$J$103, "LINE官方帳號")</f>
        <v/>
      </c>
      <c r="H11" s="26">
        <f>SUMIF(會員原始資料表!$J$4:$J$103, "LINE官方帳號", 會員原始資料表!$L$4:$L$103)</f>
        <v/>
      </c>
    </row>
    <row r="12" ht="20" customHeight="1">
      <c r="F12" s="23" t="inlineStr">
        <is>
          <t>KOL推薦</t>
        </is>
      </c>
      <c r="G12" s="24">
        <f>COUNTIF(會員原始資料表!$J$4:$J$103, "KOL推薦")</f>
        <v/>
      </c>
      <c r="H12" s="26">
        <f>SUMIF(會員原始資料表!$J$4:$J$103, "KOL推薦", 會員原始資料表!$L$4:$L$103)</f>
        <v/>
      </c>
    </row>
    <row r="13" ht="20" customHeight="1">
      <c r="F13" s="23" t="inlineStr">
        <is>
          <t>親友推薦</t>
        </is>
      </c>
      <c r="G13" s="24">
        <f>COUNTIF(會員原始資料表!$J$4:$J$103, "親友推薦")</f>
        <v/>
      </c>
      <c r="H13" s="26">
        <f>SUMIF(會員原始資料表!$J$4:$J$103, "親友推薦", 會員原始資料表!$L$4:$L$103)</f>
        <v/>
      </c>
    </row>
    <row r="15">
      <c r="B15" s="22" t="inlineStr">
        <is>
          <t>帳號狀態</t>
        </is>
      </c>
      <c r="C15" s="22" t="inlineStr">
        <is>
          <t>人數</t>
        </is>
      </c>
    </row>
    <row r="16" ht="20" customHeight="1">
      <c r="B16" s="23" t="inlineStr">
        <is>
          <t>正常活躍</t>
        </is>
      </c>
      <c r="C16" s="24">
        <f>COUNTIF(會員原始資料表!$P$4:$P$103, "正常活躍")</f>
        <v/>
      </c>
    </row>
    <row r="17" ht="20" customHeight="1">
      <c r="B17" s="23" t="inlineStr">
        <is>
          <t>沈睡會員</t>
        </is>
      </c>
      <c r="C17" s="24">
        <f>COUNTIF(會員原始資料表!$P$4:$P$103, "沈睡會員")</f>
        <v/>
      </c>
    </row>
    <row r="18" ht="20" customHeight="1">
      <c r="B18" s="23" t="inlineStr">
        <is>
          <t>凍結</t>
        </is>
      </c>
      <c r="C18" s="24">
        <f>COUNTIF(會員原始資料表!$P$4:$P$103, "凍結")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2026-08-18T01:53:46Z</dcterms:created>
  <dcterms:modified xmlns:dcterms="http://purl.org/dc/terms/" xmlns:xsi="http://www.w3.org/2001/XMLSchema-instance" xsi:type="dcterms:W3CDTF">2026-08-18T01:53:47Z</dcterms:modified>
</cp:coreProperties>
</file>